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mnasrabadi/Desktop/Airbnb-Sydney-Paper/"/>
    </mc:Choice>
  </mc:AlternateContent>
  <xr:revisionPtr revIDLastSave="0" documentId="13_ncr:1_{62978770-7FFD-C64E-A318-D328B0596F22}" xr6:coauthVersionLast="47" xr6:coauthVersionMax="47" xr10:uidLastSave="{00000000-0000-0000-0000-000000000000}"/>
  <bookViews>
    <workbookView xWindow="320" yWindow="500" windowWidth="27060" windowHeight="16940" xr2:uid="{15F59265-A5EF-1540-A6B6-7DF17B48FFA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1" l="1"/>
  <c r="O41" i="1" s="1"/>
  <c r="M40" i="1"/>
  <c r="K40" i="1"/>
  <c r="J40" i="1"/>
  <c r="L41" i="1" s="1"/>
  <c r="H40" i="1"/>
  <c r="G40" i="1"/>
  <c r="E40" i="1"/>
  <c r="D40" i="1"/>
  <c r="F41" i="1" s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40" i="1" s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40" i="1" s="1"/>
  <c r="I25" i="1"/>
  <c r="I24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40" i="1" s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40" i="1" s="1"/>
  <c r="N19" i="1"/>
  <c r="O20" i="1" s="1"/>
  <c r="M19" i="1"/>
  <c r="K19" i="1"/>
  <c r="J19" i="1"/>
  <c r="L20" i="1" s="1"/>
  <c r="H19" i="1"/>
  <c r="G19" i="1"/>
  <c r="I20" i="1" s="1"/>
  <c r="E19" i="1"/>
  <c r="D19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3" i="1"/>
  <c r="O19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3" i="1"/>
  <c r="L19" i="1" l="1"/>
  <c r="F20" i="1"/>
  <c r="I19" i="1"/>
  <c r="F19" i="1"/>
  <c r="I41" i="1"/>
</calcChain>
</file>

<file path=xl/sharedStrings.xml><?xml version="1.0" encoding="utf-8"?>
<sst xmlns="http://schemas.openxmlformats.org/spreadsheetml/2006/main" count="127" uniqueCount="35">
  <si>
    <t>Model</t>
  </si>
  <si>
    <t>Train MAE</t>
  </si>
  <si>
    <t>Train MSE</t>
  </si>
  <si>
    <t>Train RMSE</t>
  </si>
  <si>
    <t>Train R2</t>
  </si>
  <si>
    <t>Test MAE</t>
  </si>
  <si>
    <t>Test MSE</t>
  </si>
  <si>
    <t>Test RMSE</t>
  </si>
  <si>
    <t>Test R2</t>
  </si>
  <si>
    <t>Linear Regression</t>
  </si>
  <si>
    <t>Lasso</t>
  </si>
  <si>
    <t>Ridge</t>
  </si>
  <si>
    <t>Elastic Net</t>
  </si>
  <si>
    <t>KNN</t>
  </si>
  <si>
    <t>SVR</t>
  </si>
  <si>
    <t>Decision Tree</t>
  </si>
  <si>
    <t>Random Forest</t>
  </si>
  <si>
    <t>XGBoost</t>
  </si>
  <si>
    <t>GBM</t>
  </si>
  <si>
    <t>MLP</t>
  </si>
  <si>
    <t>Stack All</t>
  </si>
  <si>
    <t>Stack Top 5</t>
  </si>
  <si>
    <t>Voting All</t>
  </si>
  <si>
    <t>Voting Top 5</t>
  </si>
  <si>
    <t>ModelTrain MAETrain MSETrain RMSETrain R20Linear Regression125.69985849195.341021221.8002280.5713821Lasso124.88293656259.687448237.1912470.5098332Ridge125.16394149249.217314221.9216470.5709123Elastic Net125.27859249233.014931221.8851390.5710534KNN91.58371436841.446437191.9412580.6790165SVR85.07561243663.296311208.9576420.6195806Decision Tree94.89540930732.402199175.3065950.7322427Random Forest86.24612922912.135473151.3675510.8003768XGBoost44.5089954936.89879170.2630680.9569879GBM71.11270314925.927596122.1717140.86995710MLP97.24983134841.507280186.6587990.69644111Stack All63.25100512905.283134113.6014220.88756212Stack Top 564.50792412780.435123113.0505870.88864913Voting All85.65690327668.074894166.3372320.75894014Voting Top 571.02266216420.859437128.1439010.856932</t>
  </si>
  <si>
    <t>diff</t>
  </si>
  <si>
    <t>with FE</t>
  </si>
  <si>
    <t>no FE</t>
  </si>
  <si>
    <t>Average</t>
  </si>
  <si>
    <t>% Boost in performance</t>
  </si>
  <si>
    <t>for smart features vs without</t>
  </si>
  <si>
    <t>TRAIN</t>
  </si>
  <si>
    <t>TEST</t>
  </si>
  <si>
    <t xml:space="preserve">Test winner = </t>
  </si>
  <si>
    <t>Stack all + 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</si>
</sst>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3" x14ac:knownFonts="1"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Fill="1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165" fontId="0" fillId="4" borderId="1" xfId="0" applyNumberFormat="1" applyFill="1" applyBorder="1"/>
    <xf numFmtId="165" fontId="1" fillId="0" borderId="2" xfId="0" applyNumberFormat="1" applyFont="1" applyBorder="1"/>
    <xf numFmtId="165" fontId="1" fillId="0" borderId="0" xfId="0" applyNumberFormat="1" applyFont="1"/>
    <xf numFmtId="165" fontId="1" fillId="0" borderId="1" xfId="0" applyNumberFormat="1" applyFont="1" applyBorder="1"/>
    <xf numFmtId="9" fontId="1" fillId="0" borderId="2" xfId="0" applyNumberFormat="1" applyFont="1" applyBorder="1"/>
    <xf numFmtId="9" fontId="1" fillId="0" borderId="0" xfId="0" applyNumberFormat="1" applyFont="1"/>
    <xf numFmtId="164" fontId="1" fillId="0" borderId="1" xfId="0" applyNumberFormat="1" applyFont="1" applyBorder="1"/>
    <xf numFmtId="0" fontId="1" fillId="0" borderId="0" xfId="0" applyFont="1"/>
    <xf numFmtId="165" fontId="1" fillId="0" borderId="3" xfId="0" applyNumberFormat="1" applyFont="1" applyBorder="1"/>
    <xf numFmtId="165" fontId="1" fillId="0" borderId="4" xfId="0" applyNumberFormat="1" applyFont="1" applyBorder="1"/>
    <xf numFmtId="165" fontId="1" fillId="0" borderId="5" xfId="0" applyNumberFormat="1" applyFont="1" applyBorder="1"/>
    <xf numFmtId="9" fontId="1" fillId="0" borderId="3" xfId="0" applyNumberFormat="1" applyFont="1" applyBorder="1"/>
    <xf numFmtId="9" fontId="1" fillId="0" borderId="4" xfId="0" applyNumberFormat="1" applyFont="1" applyBorder="1"/>
    <xf numFmtId="164" fontId="1" fillId="0" borderId="5" xfId="0" applyNumberFormat="1" applyFont="1" applyBorder="1"/>
    <xf numFmtId="164" fontId="1" fillId="0" borderId="0" xfId="0" applyNumberFormat="1" applyFont="1"/>
    <xf numFmtId="0" fontId="1" fillId="0" borderId="4" xfId="0" applyFont="1" applyBorder="1"/>
    <xf numFmtId="164" fontId="1" fillId="0" borderId="4" xfId="0" applyNumberFormat="1" applyFont="1" applyBorder="1"/>
    <xf numFmtId="0" fontId="1" fillId="0" borderId="6" xfId="0" applyFont="1" applyBorder="1"/>
    <xf numFmtId="165" fontId="1" fillId="0" borderId="6" xfId="0" applyNumberFormat="1" applyFont="1" applyBorder="1"/>
    <xf numFmtId="10" fontId="2" fillId="0" borderId="6" xfId="0" applyNumberFormat="1" applyFont="1" applyBorder="1"/>
    <xf numFmtId="9" fontId="1" fillId="0" borderId="6" xfId="0" applyNumberFormat="1" applyFont="1" applyBorder="1"/>
    <xf numFmtId="0" fontId="0" fillId="3" borderId="0" xfId="0" applyFill="1"/>
    <xf numFmtId="0" fontId="0" fillId="0" borderId="7" xfId="0" applyBorder="1"/>
    <xf numFmtId="0" fontId="1" fillId="0" borderId="7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165" fontId="0" fillId="4" borderId="5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165" fontId="0" fillId="4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D94E-AF58-4B48-B8FA-B463ED1B4E32}">
  <dimension ref="B1:S42"/>
  <sheetViews>
    <sheetView tabSelected="1" workbookViewId="0">
      <selection activeCell="R35" sqref="R35"/>
    </sheetView>
  </sheetViews>
  <sheetFormatPr baseColWidth="10" defaultRowHeight="16" x14ac:dyDescent="0.2"/>
  <cols>
    <col min="3" max="3" width="18.1640625" bestFit="1" customWidth="1"/>
    <col min="4" max="5" width="9.6640625" style="3" bestFit="1" customWidth="1"/>
    <col min="6" max="6" width="5.33203125" style="3" bestFit="1" customWidth="1"/>
    <col min="7" max="8" width="9.5" style="3" bestFit="1" customWidth="1"/>
    <col min="9" max="9" width="6.33203125" style="3" bestFit="1" customWidth="1"/>
    <col min="10" max="11" width="10.6640625" style="3" bestFit="1" customWidth="1"/>
    <col min="12" max="12" width="5.33203125" style="3" bestFit="1" customWidth="1"/>
    <col min="13" max="14" width="8" style="4" bestFit="1" customWidth="1"/>
    <col min="15" max="15" width="5.33203125" style="2" bestFit="1" customWidth="1"/>
  </cols>
  <sheetData>
    <row r="1" spans="2:15" ht="17" thickBot="1" x14ac:dyDescent="0.25">
      <c r="D1" s="32" t="s">
        <v>26</v>
      </c>
      <c r="E1" s="33" t="s">
        <v>27</v>
      </c>
      <c r="F1" s="34"/>
      <c r="G1" s="32" t="s">
        <v>26</v>
      </c>
      <c r="H1" s="33" t="s">
        <v>27</v>
      </c>
      <c r="I1" s="34"/>
      <c r="J1" s="32" t="s">
        <v>26</v>
      </c>
      <c r="K1" s="33" t="s">
        <v>27</v>
      </c>
      <c r="L1" s="34"/>
      <c r="M1" s="32" t="s">
        <v>26</v>
      </c>
      <c r="N1" s="33" t="s">
        <v>27</v>
      </c>
      <c r="O1" s="34"/>
    </row>
    <row r="2" spans="2:15" x14ac:dyDescent="0.2">
      <c r="B2" s="29" t="s">
        <v>31</v>
      </c>
      <c r="C2" s="27" t="s">
        <v>0</v>
      </c>
      <c r="D2" s="1" t="s">
        <v>5</v>
      </c>
      <c r="E2" s="26" t="s">
        <v>5</v>
      </c>
      <c r="F2" s="5" t="s">
        <v>25</v>
      </c>
      <c r="G2" s="1" t="s">
        <v>6</v>
      </c>
      <c r="H2" s="26" t="s">
        <v>6</v>
      </c>
      <c r="I2" s="5" t="s">
        <v>25</v>
      </c>
      <c r="J2" s="1" t="s">
        <v>7</v>
      </c>
      <c r="K2" s="26" t="s">
        <v>7</v>
      </c>
      <c r="L2" s="5" t="s">
        <v>25</v>
      </c>
      <c r="M2" s="1" t="s">
        <v>8</v>
      </c>
      <c r="N2" s="26" t="s">
        <v>8</v>
      </c>
      <c r="O2" s="5" t="s">
        <v>25</v>
      </c>
    </row>
    <row r="3" spans="2:15" s="12" customFormat="1" ht="14" x14ac:dyDescent="0.2">
      <c r="B3" s="30"/>
      <c r="C3" s="28" t="s">
        <v>9</v>
      </c>
      <c r="D3" s="6">
        <v>122.31</v>
      </c>
      <c r="E3" s="7">
        <v>125.69985800000001</v>
      </c>
      <c r="F3" s="8">
        <f>E3-D3</f>
        <v>3.3898580000000038</v>
      </c>
      <c r="G3" s="6">
        <v>44151.44</v>
      </c>
      <c r="H3" s="7">
        <v>49195.341021</v>
      </c>
      <c r="I3" s="8">
        <f>H3-G3</f>
        <v>5043.9010209999979</v>
      </c>
      <c r="J3" s="6">
        <v>210.12</v>
      </c>
      <c r="K3" s="7">
        <v>221.800228</v>
      </c>
      <c r="L3" s="8">
        <f>K3-J3</f>
        <v>11.680228</v>
      </c>
      <c r="M3" s="9">
        <v>0.62</v>
      </c>
      <c r="N3" s="10">
        <v>0.57138199999999995</v>
      </c>
      <c r="O3" s="11">
        <f>M3-N3</f>
        <v>4.861800000000005E-2</v>
      </c>
    </row>
    <row r="4" spans="2:15" s="12" customFormat="1" ht="14" x14ac:dyDescent="0.2">
      <c r="B4" s="30"/>
      <c r="C4" s="28" t="s">
        <v>10</v>
      </c>
      <c r="D4" s="6">
        <v>118.11</v>
      </c>
      <c r="E4" s="7">
        <v>124.882936</v>
      </c>
      <c r="F4" s="8">
        <f t="shared" ref="F4:F17" si="0">E4-D4</f>
        <v>6.7729360000000014</v>
      </c>
      <c r="G4" s="6">
        <v>52413.8</v>
      </c>
      <c r="H4" s="7">
        <v>56259.687447999997</v>
      </c>
      <c r="I4" s="8">
        <f t="shared" ref="I4:I17" si="1">H4-G4</f>
        <v>3845.887447999994</v>
      </c>
      <c r="J4" s="6">
        <v>228.94</v>
      </c>
      <c r="K4" s="7">
        <v>237.191247</v>
      </c>
      <c r="L4" s="8">
        <f t="shared" ref="L4:L17" si="2">K4-J4</f>
        <v>8.2512470000000064</v>
      </c>
      <c r="M4" s="9">
        <v>0.55000000000000004</v>
      </c>
      <c r="N4" s="10">
        <v>0.50983299999999998</v>
      </c>
      <c r="O4" s="11">
        <f t="shared" ref="O4:O17" si="3">M4-N4</f>
        <v>4.0167000000000064E-2</v>
      </c>
    </row>
    <row r="5" spans="2:15" s="12" customFormat="1" ht="14" x14ac:dyDescent="0.2">
      <c r="B5" s="30"/>
      <c r="C5" s="28" t="s">
        <v>11</v>
      </c>
      <c r="D5" s="6">
        <v>121.45</v>
      </c>
      <c r="E5" s="7">
        <v>125.16394099999999</v>
      </c>
      <c r="F5" s="8">
        <f t="shared" si="0"/>
        <v>3.7139409999999913</v>
      </c>
      <c r="G5" s="6">
        <v>44349.84</v>
      </c>
      <c r="H5" s="7">
        <v>49249.217314000001</v>
      </c>
      <c r="I5" s="8">
        <f t="shared" si="1"/>
        <v>4899.3773140000048</v>
      </c>
      <c r="J5" s="6">
        <v>210.59</v>
      </c>
      <c r="K5" s="7">
        <v>221.92164700000001</v>
      </c>
      <c r="L5" s="8">
        <f t="shared" si="2"/>
        <v>11.331647000000004</v>
      </c>
      <c r="M5" s="9">
        <v>0.62</v>
      </c>
      <c r="N5" s="10">
        <v>0.57091199999999998</v>
      </c>
      <c r="O5" s="11">
        <f t="shared" si="3"/>
        <v>4.9088000000000021E-2</v>
      </c>
    </row>
    <row r="6" spans="2:15" s="12" customFormat="1" ht="14" x14ac:dyDescent="0.2">
      <c r="B6" s="30"/>
      <c r="C6" s="28" t="s">
        <v>12</v>
      </c>
      <c r="D6" s="6">
        <v>121.66</v>
      </c>
      <c r="E6" s="7">
        <v>125.278592</v>
      </c>
      <c r="F6" s="8">
        <f t="shared" si="0"/>
        <v>3.6185920000000067</v>
      </c>
      <c r="G6" s="6">
        <v>44286.14</v>
      </c>
      <c r="H6" s="7">
        <v>49233.014930999998</v>
      </c>
      <c r="I6" s="8">
        <f t="shared" si="1"/>
        <v>4946.8749309999985</v>
      </c>
      <c r="J6" s="6">
        <v>210.44</v>
      </c>
      <c r="K6" s="7">
        <v>221.88513900000001</v>
      </c>
      <c r="L6" s="8">
        <f t="shared" si="2"/>
        <v>11.445139000000012</v>
      </c>
      <c r="M6" s="9">
        <v>0.62</v>
      </c>
      <c r="N6" s="10">
        <v>0.57105300000000003</v>
      </c>
      <c r="O6" s="11">
        <f t="shared" si="3"/>
        <v>4.8946999999999963E-2</v>
      </c>
    </row>
    <row r="7" spans="2:15" s="12" customFormat="1" ht="14" x14ac:dyDescent="0.2">
      <c r="B7" s="30"/>
      <c r="C7" s="28" t="s">
        <v>13</v>
      </c>
      <c r="D7" s="6">
        <v>92.62</v>
      </c>
      <c r="E7" s="7">
        <v>91.583714000000001</v>
      </c>
      <c r="F7" s="8">
        <f t="shared" si="0"/>
        <v>-1.036286000000004</v>
      </c>
      <c r="G7" s="6">
        <v>38310.76</v>
      </c>
      <c r="H7" s="7">
        <v>36841.446436999999</v>
      </c>
      <c r="I7" s="8">
        <f t="shared" si="1"/>
        <v>-1469.3135630000033</v>
      </c>
      <c r="J7" s="6">
        <v>195.73</v>
      </c>
      <c r="K7" s="7">
        <v>191.941258</v>
      </c>
      <c r="L7" s="8">
        <f t="shared" si="2"/>
        <v>-3.788741999999985</v>
      </c>
      <c r="M7" s="9">
        <v>0.67</v>
      </c>
      <c r="N7" s="10">
        <v>0.67901599999999995</v>
      </c>
      <c r="O7" s="11">
        <f t="shared" si="3"/>
        <v>-9.015999999999913E-3</v>
      </c>
    </row>
    <row r="8" spans="2:15" s="12" customFormat="1" ht="14" x14ac:dyDescent="0.2">
      <c r="B8" s="30"/>
      <c r="C8" s="28" t="s">
        <v>14</v>
      </c>
      <c r="D8" s="6">
        <v>64.33</v>
      </c>
      <c r="E8" s="7">
        <v>85.075612000000007</v>
      </c>
      <c r="F8" s="8">
        <f t="shared" si="0"/>
        <v>20.745612000000008</v>
      </c>
      <c r="G8" s="6">
        <v>33667.31</v>
      </c>
      <c r="H8" s="7">
        <v>43663.296310999998</v>
      </c>
      <c r="I8" s="8">
        <f t="shared" si="1"/>
        <v>9995.9863110000006</v>
      </c>
      <c r="J8" s="6">
        <v>183.49</v>
      </c>
      <c r="K8" s="7">
        <v>208.95764199999999</v>
      </c>
      <c r="L8" s="8">
        <f t="shared" si="2"/>
        <v>25.467641999999984</v>
      </c>
      <c r="M8" s="9">
        <v>0.71</v>
      </c>
      <c r="N8" s="10">
        <v>0.61958000000000002</v>
      </c>
      <c r="O8" s="11">
        <f t="shared" si="3"/>
        <v>9.0419999999999945E-2</v>
      </c>
    </row>
    <row r="9" spans="2:15" s="12" customFormat="1" ht="14" x14ac:dyDescent="0.2">
      <c r="B9" s="30"/>
      <c r="C9" s="28" t="s">
        <v>15</v>
      </c>
      <c r="D9" s="6">
        <v>89.96</v>
      </c>
      <c r="E9" s="7">
        <v>94.895409000000001</v>
      </c>
      <c r="F9" s="8">
        <f t="shared" si="0"/>
        <v>4.935409000000007</v>
      </c>
      <c r="G9" s="6">
        <v>29580.33</v>
      </c>
      <c r="H9" s="7">
        <v>30732.402199</v>
      </c>
      <c r="I9" s="8">
        <f t="shared" si="1"/>
        <v>1152.0721989999984</v>
      </c>
      <c r="J9" s="6">
        <v>171.99</v>
      </c>
      <c r="K9" s="7">
        <v>175.30659499999999</v>
      </c>
      <c r="L9" s="8">
        <f t="shared" si="2"/>
        <v>3.3165949999999782</v>
      </c>
      <c r="M9" s="9">
        <v>0.74</v>
      </c>
      <c r="N9" s="10">
        <v>0.73224199999999995</v>
      </c>
      <c r="O9" s="11">
        <f t="shared" si="3"/>
        <v>7.7580000000000426E-3</v>
      </c>
    </row>
    <row r="10" spans="2:15" s="12" customFormat="1" ht="14" x14ac:dyDescent="0.2">
      <c r="B10" s="30"/>
      <c r="C10" s="28" t="s">
        <v>16</v>
      </c>
      <c r="D10" s="6">
        <v>83.75</v>
      </c>
      <c r="E10" s="7">
        <v>86.246128999999996</v>
      </c>
      <c r="F10" s="8">
        <f t="shared" si="0"/>
        <v>2.4961289999999963</v>
      </c>
      <c r="G10" s="6">
        <v>21873.13</v>
      </c>
      <c r="H10" s="7">
        <v>22912.135472999998</v>
      </c>
      <c r="I10" s="8">
        <f t="shared" si="1"/>
        <v>1039.0054729999974</v>
      </c>
      <c r="J10" s="6">
        <v>147.9</v>
      </c>
      <c r="K10" s="7">
        <v>151.36755099999999</v>
      </c>
      <c r="L10" s="8">
        <f t="shared" si="2"/>
        <v>3.4675509999999861</v>
      </c>
      <c r="M10" s="9">
        <v>0.81</v>
      </c>
      <c r="N10" s="10">
        <v>0.80037599999999998</v>
      </c>
      <c r="O10" s="11">
        <f t="shared" si="3"/>
        <v>9.6240000000000769E-3</v>
      </c>
    </row>
    <row r="11" spans="2:15" s="12" customFormat="1" ht="14" x14ac:dyDescent="0.2">
      <c r="B11" s="30"/>
      <c r="C11" s="28" t="s">
        <v>17</v>
      </c>
      <c r="D11" s="6">
        <v>37.729999999999997</v>
      </c>
      <c r="E11" s="7">
        <v>44.508994999999999</v>
      </c>
      <c r="F11" s="8">
        <f t="shared" si="0"/>
        <v>6.7789950000000019</v>
      </c>
      <c r="G11" s="6">
        <v>3410.31</v>
      </c>
      <c r="H11" s="7">
        <v>4936.8987909999996</v>
      </c>
      <c r="I11" s="8">
        <f t="shared" si="1"/>
        <v>1526.5887909999997</v>
      </c>
      <c r="J11" s="6">
        <v>58.4</v>
      </c>
      <c r="K11" s="7">
        <v>70.263068000000004</v>
      </c>
      <c r="L11" s="8">
        <f t="shared" si="2"/>
        <v>11.863068000000005</v>
      </c>
      <c r="M11" s="9">
        <v>0.97</v>
      </c>
      <c r="N11" s="10">
        <v>0.95698700000000003</v>
      </c>
      <c r="O11" s="11">
        <f t="shared" si="3"/>
        <v>1.3012999999999941E-2</v>
      </c>
    </row>
    <row r="12" spans="2:15" s="12" customFormat="1" ht="14" x14ac:dyDescent="0.2">
      <c r="B12" s="30"/>
      <c r="C12" s="28" t="s">
        <v>18</v>
      </c>
      <c r="D12" s="6">
        <v>63.7</v>
      </c>
      <c r="E12" s="7">
        <v>71.112702999999996</v>
      </c>
      <c r="F12" s="8">
        <f t="shared" si="0"/>
        <v>7.4127029999999934</v>
      </c>
      <c r="G12" s="6">
        <v>11335.11</v>
      </c>
      <c r="H12" s="7">
        <v>14925.927596</v>
      </c>
      <c r="I12" s="8">
        <f t="shared" si="1"/>
        <v>3590.817595999999</v>
      </c>
      <c r="J12" s="6">
        <v>106.47</v>
      </c>
      <c r="K12" s="7">
        <v>122.17171399999999</v>
      </c>
      <c r="L12" s="8">
        <f t="shared" si="2"/>
        <v>15.701713999999996</v>
      </c>
      <c r="M12" s="9">
        <v>0.9</v>
      </c>
      <c r="N12" s="10">
        <v>0.86995699999999998</v>
      </c>
      <c r="O12" s="11">
        <f t="shared" si="3"/>
        <v>3.0043000000000042E-2</v>
      </c>
    </row>
    <row r="13" spans="2:15" s="12" customFormat="1" ht="14" x14ac:dyDescent="0.2">
      <c r="B13" s="30"/>
      <c r="C13" s="28" t="s">
        <v>19</v>
      </c>
      <c r="D13" s="6">
        <v>92.03</v>
      </c>
      <c r="E13" s="7">
        <v>97.249831</v>
      </c>
      <c r="F13" s="8">
        <f t="shared" si="0"/>
        <v>5.2198309999999992</v>
      </c>
      <c r="G13" s="6">
        <v>29271.83</v>
      </c>
      <c r="H13" s="7">
        <v>34841.507279999998</v>
      </c>
      <c r="I13" s="8">
        <f t="shared" si="1"/>
        <v>5569.6772799999962</v>
      </c>
      <c r="J13" s="6">
        <v>171.09</v>
      </c>
      <c r="K13" s="7">
        <v>186.65879899999999</v>
      </c>
      <c r="L13" s="8">
        <f t="shared" si="2"/>
        <v>15.568798999999984</v>
      </c>
      <c r="M13" s="9">
        <v>0.75</v>
      </c>
      <c r="N13" s="10">
        <v>0.69644099999999998</v>
      </c>
      <c r="O13" s="11">
        <f t="shared" si="3"/>
        <v>5.3559000000000023E-2</v>
      </c>
    </row>
    <row r="14" spans="2:15" s="12" customFormat="1" ht="14" x14ac:dyDescent="0.2">
      <c r="B14" s="30"/>
      <c r="C14" s="28" t="s">
        <v>20</v>
      </c>
      <c r="D14" s="6">
        <v>52.14</v>
      </c>
      <c r="E14" s="7">
        <v>63.251004999999999</v>
      </c>
      <c r="F14" s="8">
        <f t="shared" si="0"/>
        <v>11.111004999999999</v>
      </c>
      <c r="G14" s="6">
        <v>8339.74</v>
      </c>
      <c r="H14" s="7">
        <v>12905.283133999999</v>
      </c>
      <c r="I14" s="8">
        <f t="shared" si="1"/>
        <v>4565.5431339999996</v>
      </c>
      <c r="J14" s="6">
        <v>91.32</v>
      </c>
      <c r="K14" s="7">
        <v>113.601422</v>
      </c>
      <c r="L14" s="8">
        <f t="shared" si="2"/>
        <v>22.281422000000006</v>
      </c>
      <c r="M14" s="9">
        <v>0.93</v>
      </c>
      <c r="N14" s="10">
        <v>0.88756199999999996</v>
      </c>
      <c r="O14" s="11">
        <f t="shared" si="3"/>
        <v>4.2438000000000087E-2</v>
      </c>
    </row>
    <row r="15" spans="2:15" s="12" customFormat="1" ht="14" x14ac:dyDescent="0.2">
      <c r="B15" s="30"/>
      <c r="C15" s="28" t="s">
        <v>21</v>
      </c>
      <c r="D15" s="6">
        <v>53.19</v>
      </c>
      <c r="E15" s="7">
        <v>64.507924000000003</v>
      </c>
      <c r="F15" s="8">
        <f t="shared" si="0"/>
        <v>11.317924000000005</v>
      </c>
      <c r="G15" s="6">
        <v>7793.99</v>
      </c>
      <c r="H15" s="7">
        <v>12780.435122999999</v>
      </c>
      <c r="I15" s="8">
        <f t="shared" si="1"/>
        <v>4986.4451229999995</v>
      </c>
      <c r="J15" s="6">
        <v>88.28</v>
      </c>
      <c r="K15" s="7">
        <v>113.05058699999999</v>
      </c>
      <c r="L15" s="8">
        <f t="shared" si="2"/>
        <v>24.770586999999992</v>
      </c>
      <c r="M15" s="9">
        <v>0.93</v>
      </c>
      <c r="N15" s="10">
        <v>0.88864900000000002</v>
      </c>
      <c r="O15" s="11">
        <f t="shared" si="3"/>
        <v>4.1351000000000027E-2</v>
      </c>
    </row>
    <row r="16" spans="2:15" s="12" customFormat="1" ht="14" x14ac:dyDescent="0.2">
      <c r="B16" s="30"/>
      <c r="C16" s="28" t="s">
        <v>22</v>
      </c>
      <c r="D16" s="6">
        <v>78.19</v>
      </c>
      <c r="E16" s="7">
        <v>85.656903</v>
      </c>
      <c r="F16" s="8">
        <f t="shared" si="0"/>
        <v>7.4669030000000021</v>
      </c>
      <c r="G16" s="6">
        <v>23870.799999999999</v>
      </c>
      <c r="H16" s="7">
        <v>27668.074894000001</v>
      </c>
      <c r="I16" s="8">
        <f t="shared" si="1"/>
        <v>3797.274894000002</v>
      </c>
      <c r="J16" s="6">
        <v>154.5</v>
      </c>
      <c r="K16" s="7">
        <v>166.337232</v>
      </c>
      <c r="L16" s="8">
        <f t="shared" si="2"/>
        <v>11.837232</v>
      </c>
      <c r="M16" s="9">
        <v>0.79</v>
      </c>
      <c r="N16" s="10">
        <v>0.75893999999999995</v>
      </c>
      <c r="O16" s="11">
        <f t="shared" si="3"/>
        <v>3.1060000000000088E-2</v>
      </c>
    </row>
    <row r="17" spans="2:19" s="12" customFormat="1" ht="15" thickBot="1" x14ac:dyDescent="0.25">
      <c r="B17" s="31"/>
      <c r="C17" s="28" t="s">
        <v>23</v>
      </c>
      <c r="D17" s="13">
        <v>64.430000000000007</v>
      </c>
      <c r="E17" s="14">
        <v>71.022661999999997</v>
      </c>
      <c r="F17" s="15">
        <f t="shared" si="0"/>
        <v>6.59266199999999</v>
      </c>
      <c r="G17" s="13">
        <v>13535.83</v>
      </c>
      <c r="H17" s="14">
        <v>16420.859436999999</v>
      </c>
      <c r="I17" s="15">
        <f t="shared" si="1"/>
        <v>2885.0294369999992</v>
      </c>
      <c r="J17" s="13">
        <v>116.34</v>
      </c>
      <c r="K17" s="14">
        <v>128.143901</v>
      </c>
      <c r="L17" s="15">
        <f t="shared" si="2"/>
        <v>11.803900999999996</v>
      </c>
      <c r="M17" s="16">
        <v>0.88</v>
      </c>
      <c r="N17" s="17">
        <v>0.85693200000000003</v>
      </c>
      <c r="O17" s="18">
        <f t="shared" si="3"/>
        <v>2.3067999999999977E-2</v>
      </c>
    </row>
    <row r="18" spans="2:19" s="12" customFormat="1" ht="14" x14ac:dyDescent="0.2">
      <c r="D18" s="7"/>
      <c r="E18" s="7"/>
      <c r="F18" s="7"/>
      <c r="G18" s="7"/>
      <c r="H18" s="7"/>
      <c r="I18" s="7"/>
      <c r="J18" s="7"/>
      <c r="K18" s="7"/>
      <c r="L18" s="7"/>
      <c r="M18" s="10"/>
      <c r="N18" s="10"/>
      <c r="O18" s="19"/>
    </row>
    <row r="19" spans="2:19" s="12" customFormat="1" ht="14" x14ac:dyDescent="0.2">
      <c r="C19" s="20" t="s">
        <v>28</v>
      </c>
      <c r="D19" s="14">
        <f t="shared" ref="D19:O19" si="4">AVERAGE(D3:D17)</f>
        <v>83.706666666666692</v>
      </c>
      <c r="E19" s="14">
        <f t="shared" si="4"/>
        <v>90.409080933333357</v>
      </c>
      <c r="F19" s="14">
        <f t="shared" si="4"/>
        <v>6.7024142666666666</v>
      </c>
      <c r="G19" s="14">
        <f t="shared" si="4"/>
        <v>27079.357333333337</v>
      </c>
      <c r="H19" s="14">
        <f t="shared" si="4"/>
        <v>30837.701825933342</v>
      </c>
      <c r="I19" s="14">
        <f t="shared" si="4"/>
        <v>3758.3444925999988</v>
      </c>
      <c r="J19" s="14">
        <f t="shared" si="4"/>
        <v>156.37333333333336</v>
      </c>
      <c r="K19" s="14">
        <f t="shared" si="4"/>
        <v>168.70653533333333</v>
      </c>
      <c r="L19" s="14">
        <f t="shared" si="4"/>
        <v>12.333201999999996</v>
      </c>
      <c r="M19" s="21">
        <f t="shared" si="4"/>
        <v>0.76600000000000001</v>
      </c>
      <c r="N19" s="21">
        <f t="shared" si="4"/>
        <v>0.73132413333333324</v>
      </c>
      <c r="O19" s="21">
        <f t="shared" si="4"/>
        <v>3.4675866666666694E-2</v>
      </c>
    </row>
    <row r="20" spans="2:19" s="12" customFormat="1" ht="14" x14ac:dyDescent="0.2">
      <c r="C20" s="22" t="s">
        <v>29</v>
      </c>
      <c r="D20" s="23"/>
      <c r="E20" s="23"/>
      <c r="F20" s="24">
        <f>1-(D19/E19)</f>
        <v>7.4134303738901508E-2</v>
      </c>
      <c r="G20" s="23"/>
      <c r="H20" s="23"/>
      <c r="I20" s="24">
        <f>1-(G19/H19)</f>
        <v>0.12187498646346528</v>
      </c>
      <c r="J20" s="23"/>
      <c r="K20" s="23"/>
      <c r="L20" s="24">
        <f>1-(J19/K19)</f>
        <v>7.3104470882718431E-2</v>
      </c>
      <c r="M20" s="25"/>
      <c r="N20" s="25"/>
      <c r="O20" s="24">
        <f>1-(N19/M19)</f>
        <v>4.5268755439512809E-2</v>
      </c>
      <c r="R20" s="12" t="s">
        <v>33</v>
      </c>
      <c r="S20" s="12" t="s">
        <v>34</v>
      </c>
    </row>
    <row r="21" spans="2:19" s="12" customFormat="1" ht="14" x14ac:dyDescent="0.2">
      <c r="C21" s="20" t="s">
        <v>30</v>
      </c>
      <c r="D21" s="14"/>
      <c r="E21" s="14"/>
      <c r="F21" s="14"/>
      <c r="G21" s="14"/>
      <c r="H21" s="14"/>
      <c r="I21" s="14"/>
      <c r="J21" s="14"/>
      <c r="K21" s="14"/>
      <c r="L21" s="14"/>
      <c r="M21" s="17"/>
      <c r="N21" s="17"/>
      <c r="O21" s="21"/>
    </row>
    <row r="22" spans="2:19" ht="17" thickBot="1" x14ac:dyDescent="0.25">
      <c r="D22" s="35" t="s">
        <v>26</v>
      </c>
      <c r="E22" s="36" t="s">
        <v>27</v>
      </c>
      <c r="F22" s="37"/>
      <c r="G22" s="35" t="s">
        <v>26</v>
      </c>
      <c r="H22" s="36" t="s">
        <v>27</v>
      </c>
      <c r="I22" s="37"/>
      <c r="J22" s="35" t="s">
        <v>26</v>
      </c>
      <c r="K22" s="36" t="s">
        <v>27</v>
      </c>
      <c r="L22" s="37"/>
      <c r="M22" s="35" t="s">
        <v>26</v>
      </c>
      <c r="N22" s="36" t="s">
        <v>27</v>
      </c>
      <c r="O22" s="37"/>
    </row>
    <row r="23" spans="2:19" x14ac:dyDescent="0.2">
      <c r="B23" s="29" t="s">
        <v>32</v>
      </c>
      <c r="C23" s="27" t="s">
        <v>0</v>
      </c>
      <c r="D23" s="1" t="s">
        <v>5</v>
      </c>
      <c r="E23" s="26" t="s">
        <v>5</v>
      </c>
      <c r="F23" s="5" t="s">
        <v>25</v>
      </c>
      <c r="G23" s="1" t="s">
        <v>6</v>
      </c>
      <c r="H23" s="26" t="s">
        <v>6</v>
      </c>
      <c r="I23" s="5" t="s">
        <v>25</v>
      </c>
      <c r="J23" s="1" t="s">
        <v>7</v>
      </c>
      <c r="K23" s="26" t="s">
        <v>7</v>
      </c>
      <c r="L23" s="5" t="s">
        <v>25</v>
      </c>
      <c r="M23" s="1" t="s">
        <v>8</v>
      </c>
      <c r="N23" s="26" t="s">
        <v>8</v>
      </c>
      <c r="O23" s="5" t="s">
        <v>25</v>
      </c>
    </row>
    <row r="24" spans="2:19" s="12" customFormat="1" ht="14" x14ac:dyDescent="0.2">
      <c r="B24" s="30"/>
      <c r="C24" s="28" t="s">
        <v>9</v>
      </c>
      <c r="D24" s="7">
        <v>127.76</v>
      </c>
      <c r="E24" s="7">
        <v>130.40171900000001</v>
      </c>
      <c r="F24" s="8">
        <f>E24-D24</f>
        <v>2.641719000000009</v>
      </c>
      <c r="G24" s="7">
        <v>45125.23</v>
      </c>
      <c r="H24" s="7">
        <v>49681.517094000003</v>
      </c>
      <c r="I24" s="8">
        <f>H24-G24</f>
        <v>4556.2870939999993</v>
      </c>
      <c r="J24" s="7">
        <v>212.43</v>
      </c>
      <c r="K24" s="7">
        <v>222.89351099999999</v>
      </c>
      <c r="L24" s="8">
        <f>K24-J24</f>
        <v>10.463510999999983</v>
      </c>
      <c r="M24" s="10">
        <v>0.6</v>
      </c>
      <c r="N24" s="10">
        <v>0.55456399999999995</v>
      </c>
      <c r="O24" s="11">
        <f>M24-N24</f>
        <v>4.5436000000000032E-2</v>
      </c>
    </row>
    <row r="25" spans="2:19" s="12" customFormat="1" ht="14" x14ac:dyDescent="0.2">
      <c r="B25" s="30"/>
      <c r="C25" s="28" t="s">
        <v>10</v>
      </c>
      <c r="D25" s="7">
        <v>122.53</v>
      </c>
      <c r="E25" s="7">
        <v>128.27119099999999</v>
      </c>
      <c r="F25" s="8">
        <f t="shared" ref="F25:F38" si="5">E25-D25</f>
        <v>5.7411909999999864</v>
      </c>
      <c r="G25" s="7">
        <v>51467.71</v>
      </c>
      <c r="H25" s="7">
        <v>55102.147107999997</v>
      </c>
      <c r="I25" s="8">
        <f t="shared" ref="I25:I38" si="6">H25-G25</f>
        <v>3634.4371079999983</v>
      </c>
      <c r="J25" s="7">
        <v>226.86</v>
      </c>
      <c r="K25" s="7">
        <v>234.73846499999999</v>
      </c>
      <c r="L25" s="8">
        <f t="shared" ref="L25:L38" si="7">K25-J25</f>
        <v>7.8784649999999772</v>
      </c>
      <c r="M25" s="10">
        <v>0.54</v>
      </c>
      <c r="N25" s="10">
        <v>0.50596300000000005</v>
      </c>
      <c r="O25" s="11">
        <f t="shared" ref="O25:O38" si="8">M25-N25</f>
        <v>3.4036999999999984E-2</v>
      </c>
    </row>
    <row r="26" spans="2:19" s="12" customFormat="1" ht="14" x14ac:dyDescent="0.2">
      <c r="B26" s="30"/>
      <c r="C26" s="28" t="s">
        <v>11</v>
      </c>
      <c r="D26" s="7">
        <v>126.58</v>
      </c>
      <c r="E26" s="7">
        <v>129.68304499999999</v>
      </c>
      <c r="F26" s="8">
        <f t="shared" si="5"/>
        <v>3.1030449999999945</v>
      </c>
      <c r="G26" s="7">
        <v>45108.639999999999</v>
      </c>
      <c r="H26" s="7">
        <v>49655.119371000001</v>
      </c>
      <c r="I26" s="8">
        <f t="shared" si="6"/>
        <v>4546.4793710000013</v>
      </c>
      <c r="J26" s="7">
        <v>212.39</v>
      </c>
      <c r="K26" s="7">
        <v>222.83428699999999</v>
      </c>
      <c r="L26" s="8">
        <f t="shared" si="7"/>
        <v>10.444287000000003</v>
      </c>
      <c r="M26" s="10">
        <v>0.6</v>
      </c>
      <c r="N26" s="10">
        <v>0.55479999999999996</v>
      </c>
      <c r="O26" s="11">
        <f t="shared" si="8"/>
        <v>4.5200000000000018E-2</v>
      </c>
    </row>
    <row r="27" spans="2:19" s="12" customFormat="1" ht="14" x14ac:dyDescent="0.2">
      <c r="B27" s="30"/>
      <c r="C27" s="28" t="s">
        <v>12</v>
      </c>
      <c r="D27" s="7">
        <v>126.85</v>
      </c>
      <c r="E27" s="7">
        <v>129.88467800000001</v>
      </c>
      <c r="F27" s="8">
        <f t="shared" si="5"/>
        <v>3.0346780000000138</v>
      </c>
      <c r="G27" s="7">
        <v>45082.53</v>
      </c>
      <c r="H27" s="7">
        <v>49648.306830000001</v>
      </c>
      <c r="I27" s="8">
        <f t="shared" si="6"/>
        <v>4565.7768300000025</v>
      </c>
      <c r="J27" s="7">
        <v>212.33</v>
      </c>
      <c r="K27" s="7">
        <v>222.81899999999999</v>
      </c>
      <c r="L27" s="8">
        <f t="shared" si="7"/>
        <v>10.488999999999976</v>
      </c>
      <c r="M27" s="10">
        <v>0.6</v>
      </c>
      <c r="N27" s="10">
        <v>0.55486199999999997</v>
      </c>
      <c r="O27" s="11">
        <f t="shared" si="8"/>
        <v>4.5138000000000011E-2</v>
      </c>
    </row>
    <row r="28" spans="2:19" s="12" customFormat="1" ht="14" x14ac:dyDescent="0.2">
      <c r="B28" s="30"/>
      <c r="C28" s="28" t="s">
        <v>13</v>
      </c>
      <c r="D28" s="7">
        <v>109.12</v>
      </c>
      <c r="E28" s="7">
        <v>108.798265</v>
      </c>
      <c r="F28" s="8">
        <f t="shared" si="5"/>
        <v>-0.32173500000000388</v>
      </c>
      <c r="G28" s="7">
        <v>50655.77</v>
      </c>
      <c r="H28" s="7">
        <v>49022.891413999998</v>
      </c>
      <c r="I28" s="8">
        <f t="shared" si="6"/>
        <v>-1632.8785859999989</v>
      </c>
      <c r="J28" s="7">
        <v>225.07</v>
      </c>
      <c r="K28" s="7">
        <v>221.411137</v>
      </c>
      <c r="L28" s="8">
        <f t="shared" si="7"/>
        <v>-3.6588629999999966</v>
      </c>
      <c r="M28" s="10">
        <v>0.55000000000000004</v>
      </c>
      <c r="N28" s="10">
        <v>0.56046899999999999</v>
      </c>
      <c r="O28" s="11">
        <f t="shared" si="8"/>
        <v>-1.0468999999999951E-2</v>
      </c>
    </row>
    <row r="29" spans="2:19" s="12" customFormat="1" ht="14" x14ac:dyDescent="0.2">
      <c r="B29" s="30"/>
      <c r="C29" s="28" t="s">
        <v>14</v>
      </c>
      <c r="D29" s="7">
        <v>88.28</v>
      </c>
      <c r="E29" s="7">
        <v>95.612519000000006</v>
      </c>
      <c r="F29" s="8">
        <f t="shared" si="5"/>
        <v>7.3325190000000049</v>
      </c>
      <c r="G29" s="7">
        <v>37771.449999999997</v>
      </c>
      <c r="H29" s="7">
        <v>44776.427184</v>
      </c>
      <c r="I29" s="8">
        <f t="shared" si="6"/>
        <v>7004.977184000003</v>
      </c>
      <c r="J29" s="7">
        <v>194.35</v>
      </c>
      <c r="K29" s="7">
        <v>211.604412</v>
      </c>
      <c r="L29" s="8">
        <f t="shared" si="7"/>
        <v>17.254412000000002</v>
      </c>
      <c r="M29" s="10">
        <v>0.66</v>
      </c>
      <c r="N29" s="10">
        <v>0.59854200000000002</v>
      </c>
      <c r="O29" s="11">
        <f t="shared" si="8"/>
        <v>6.1458000000000013E-2</v>
      </c>
    </row>
    <row r="30" spans="2:19" s="12" customFormat="1" ht="14" x14ac:dyDescent="0.2">
      <c r="B30" s="30"/>
      <c r="C30" s="28" t="s">
        <v>15</v>
      </c>
      <c r="D30" s="7">
        <v>108.02</v>
      </c>
      <c r="E30" s="7">
        <v>110.181618</v>
      </c>
      <c r="F30" s="8">
        <f t="shared" si="5"/>
        <v>2.1616180000000043</v>
      </c>
      <c r="G30" s="7">
        <v>49359.53</v>
      </c>
      <c r="H30" s="7">
        <v>44493.242431999999</v>
      </c>
      <c r="I30" s="8">
        <f t="shared" si="6"/>
        <v>-4866.2875679999997</v>
      </c>
      <c r="J30" s="7">
        <v>222.17</v>
      </c>
      <c r="K30" s="7">
        <v>210.934214</v>
      </c>
      <c r="L30" s="8">
        <f t="shared" si="7"/>
        <v>-11.23578599999999</v>
      </c>
      <c r="M30" s="10">
        <v>0.56000000000000005</v>
      </c>
      <c r="N30" s="10">
        <v>0.60108099999999998</v>
      </c>
      <c r="O30" s="11">
        <f t="shared" si="8"/>
        <v>-4.1080999999999923E-2</v>
      </c>
    </row>
    <row r="31" spans="2:19" s="12" customFormat="1" ht="14" x14ac:dyDescent="0.2">
      <c r="B31" s="30"/>
      <c r="C31" s="28" t="s">
        <v>16</v>
      </c>
      <c r="D31" s="7">
        <v>99.54</v>
      </c>
      <c r="E31" s="7">
        <v>100.677978</v>
      </c>
      <c r="F31" s="8">
        <f t="shared" si="5"/>
        <v>1.1379779999999897</v>
      </c>
      <c r="G31" s="7">
        <v>39450.589999999997</v>
      </c>
      <c r="H31" s="7">
        <v>39364.220092000003</v>
      </c>
      <c r="I31" s="8">
        <f t="shared" si="6"/>
        <v>-86.369907999993302</v>
      </c>
      <c r="J31" s="7">
        <v>198.62</v>
      </c>
      <c r="K31" s="7">
        <v>198.40418399999999</v>
      </c>
      <c r="L31" s="8">
        <f t="shared" si="7"/>
        <v>-0.21581600000001799</v>
      </c>
      <c r="M31" s="10">
        <v>0.65</v>
      </c>
      <c r="N31" s="10">
        <v>0.64706699999999995</v>
      </c>
      <c r="O31" s="11">
        <f t="shared" si="8"/>
        <v>2.9330000000000744E-3</v>
      </c>
    </row>
    <row r="32" spans="2:19" s="12" customFormat="1" ht="14" x14ac:dyDescent="0.2">
      <c r="B32" s="30"/>
      <c r="C32" s="28" t="s">
        <v>17</v>
      </c>
      <c r="D32" s="7">
        <v>87.6</v>
      </c>
      <c r="E32" s="7">
        <v>90.239745999999997</v>
      </c>
      <c r="F32" s="8">
        <f t="shared" si="5"/>
        <v>2.6397460000000024</v>
      </c>
      <c r="G32" s="7">
        <v>32339.47</v>
      </c>
      <c r="H32" s="7">
        <v>33037.399999000001</v>
      </c>
      <c r="I32" s="8">
        <f t="shared" si="6"/>
        <v>697.92999899999995</v>
      </c>
      <c r="J32" s="7">
        <v>179.83</v>
      </c>
      <c r="K32" s="7">
        <v>181.761932</v>
      </c>
      <c r="L32" s="8">
        <f t="shared" si="7"/>
        <v>1.9319319999999891</v>
      </c>
      <c r="M32" s="10">
        <v>0.71</v>
      </c>
      <c r="N32" s="10">
        <v>0.70379199999999997</v>
      </c>
      <c r="O32" s="11">
        <f t="shared" si="8"/>
        <v>6.2079999999999913E-3</v>
      </c>
      <c r="Q32" s="7"/>
      <c r="R32" s="7"/>
    </row>
    <row r="33" spans="2:15" s="12" customFormat="1" ht="14" x14ac:dyDescent="0.2">
      <c r="B33" s="30"/>
      <c r="C33" s="28" t="s">
        <v>18</v>
      </c>
      <c r="D33" s="7">
        <v>89.07</v>
      </c>
      <c r="E33" s="7">
        <v>92.489565999999996</v>
      </c>
      <c r="F33" s="8">
        <f t="shared" si="5"/>
        <v>3.4195660000000032</v>
      </c>
      <c r="G33" s="7">
        <v>31544.11</v>
      </c>
      <c r="H33" s="7">
        <v>33230.080622000001</v>
      </c>
      <c r="I33" s="8">
        <f t="shared" si="6"/>
        <v>1685.9706220000007</v>
      </c>
      <c r="J33" s="7">
        <v>177.61</v>
      </c>
      <c r="K33" s="7">
        <v>182.29119700000001</v>
      </c>
      <c r="L33" s="8">
        <f t="shared" si="7"/>
        <v>4.6811969999999974</v>
      </c>
      <c r="M33" s="10">
        <v>0.72</v>
      </c>
      <c r="N33" s="10">
        <v>0.70206500000000005</v>
      </c>
      <c r="O33" s="11">
        <f t="shared" si="8"/>
        <v>1.7934999999999923E-2</v>
      </c>
    </row>
    <row r="34" spans="2:15" s="12" customFormat="1" ht="14" x14ac:dyDescent="0.2">
      <c r="B34" s="30"/>
      <c r="C34" s="28" t="s">
        <v>19</v>
      </c>
      <c r="D34" s="7">
        <v>105.66</v>
      </c>
      <c r="E34" s="7">
        <v>108.604698</v>
      </c>
      <c r="F34" s="8">
        <f t="shared" si="5"/>
        <v>2.9446980000000025</v>
      </c>
      <c r="G34" s="7">
        <v>37546.050000000003</v>
      </c>
      <c r="H34" s="7">
        <v>40720.174353000002</v>
      </c>
      <c r="I34" s="8">
        <f t="shared" si="6"/>
        <v>3174.1243529999992</v>
      </c>
      <c r="J34" s="7">
        <v>193.77</v>
      </c>
      <c r="K34" s="7">
        <v>201.792404</v>
      </c>
      <c r="L34" s="8">
        <f t="shared" si="7"/>
        <v>8.0224039999999945</v>
      </c>
      <c r="M34" s="10">
        <v>0.66</v>
      </c>
      <c r="N34" s="10">
        <v>0.63490999999999997</v>
      </c>
      <c r="O34" s="11">
        <f t="shared" si="8"/>
        <v>2.5090000000000057E-2</v>
      </c>
    </row>
    <row r="35" spans="2:15" s="12" customFormat="1" ht="14" x14ac:dyDescent="0.2">
      <c r="B35" s="30"/>
      <c r="C35" s="28" t="s">
        <v>20</v>
      </c>
      <c r="D35" s="7">
        <v>84.29</v>
      </c>
      <c r="E35" s="7">
        <v>88.524827000000002</v>
      </c>
      <c r="F35" s="8">
        <f t="shared" si="5"/>
        <v>4.2348269999999957</v>
      </c>
      <c r="G35" s="7">
        <v>30181.13</v>
      </c>
      <c r="H35" s="7">
        <v>32677.219028</v>
      </c>
      <c r="I35" s="8">
        <f t="shared" si="6"/>
        <v>2496.0890279999985</v>
      </c>
      <c r="J35" s="7">
        <v>173.73</v>
      </c>
      <c r="K35" s="7">
        <v>180.76841300000001</v>
      </c>
      <c r="L35" s="8">
        <f t="shared" si="7"/>
        <v>7.0384130000000198</v>
      </c>
      <c r="M35" s="10">
        <v>0.73</v>
      </c>
      <c r="N35" s="10">
        <v>0.70702100000000001</v>
      </c>
      <c r="O35" s="11">
        <f t="shared" si="8"/>
        <v>2.2978999999999972E-2</v>
      </c>
    </row>
    <row r="36" spans="2:15" s="12" customFormat="1" ht="14" x14ac:dyDescent="0.2">
      <c r="B36" s="30"/>
      <c r="C36" s="28" t="s">
        <v>21</v>
      </c>
      <c r="D36" s="7">
        <v>86.3</v>
      </c>
      <c r="E36" s="7">
        <v>88.936452000000003</v>
      </c>
      <c r="F36" s="8">
        <f t="shared" si="5"/>
        <v>2.6364520000000056</v>
      </c>
      <c r="G36" s="7">
        <v>30985.27</v>
      </c>
      <c r="H36" s="7">
        <v>32706.254438</v>
      </c>
      <c r="I36" s="8">
        <f t="shared" si="6"/>
        <v>1720.9844379999995</v>
      </c>
      <c r="J36" s="7">
        <v>176.03</v>
      </c>
      <c r="K36" s="7">
        <v>180.84870599999999</v>
      </c>
      <c r="L36" s="8">
        <f t="shared" si="7"/>
        <v>4.8187059999999917</v>
      </c>
      <c r="M36" s="10">
        <v>0.72</v>
      </c>
      <c r="N36" s="10">
        <v>0.70676099999999997</v>
      </c>
      <c r="O36" s="11">
        <f t="shared" si="8"/>
        <v>1.3239000000000001E-2</v>
      </c>
    </row>
    <row r="37" spans="2:15" s="12" customFormat="1" ht="14" x14ac:dyDescent="0.2">
      <c r="B37" s="30"/>
      <c r="C37" s="28" t="s">
        <v>22</v>
      </c>
      <c r="D37" s="7">
        <v>93.66</v>
      </c>
      <c r="E37" s="7">
        <v>98.943562</v>
      </c>
      <c r="F37" s="8">
        <f t="shared" si="5"/>
        <v>5.2835620000000034</v>
      </c>
      <c r="G37" s="7">
        <v>35072.39</v>
      </c>
      <c r="H37" s="7">
        <v>38201.249146000002</v>
      </c>
      <c r="I37" s="8">
        <f t="shared" si="6"/>
        <v>3128.8591460000025</v>
      </c>
      <c r="J37" s="7">
        <v>187.28</v>
      </c>
      <c r="K37" s="7">
        <v>195.45139800000001</v>
      </c>
      <c r="L37" s="8">
        <f t="shared" si="7"/>
        <v>8.1713980000000106</v>
      </c>
      <c r="M37" s="10">
        <v>0.69</v>
      </c>
      <c r="N37" s="10">
        <v>0.65749400000000002</v>
      </c>
      <c r="O37" s="11">
        <f t="shared" si="8"/>
        <v>3.2505999999999924E-2</v>
      </c>
    </row>
    <row r="38" spans="2:15" s="12" customFormat="1" ht="15" thickBot="1" x14ac:dyDescent="0.25">
      <c r="B38" s="31"/>
      <c r="C38" s="28" t="s">
        <v>23</v>
      </c>
      <c r="D38" s="7">
        <v>87.96</v>
      </c>
      <c r="E38" s="7">
        <v>91.980797999999993</v>
      </c>
      <c r="F38" s="15">
        <f t="shared" si="5"/>
        <v>4.0207979999999992</v>
      </c>
      <c r="G38" s="7">
        <v>31931.759999999998</v>
      </c>
      <c r="H38" s="7">
        <v>33679.423500999997</v>
      </c>
      <c r="I38" s="15">
        <f t="shared" si="6"/>
        <v>1747.6635009999991</v>
      </c>
      <c r="J38" s="7">
        <v>178.69</v>
      </c>
      <c r="K38" s="7">
        <v>183.51954499999999</v>
      </c>
      <c r="L38" s="15">
        <f t="shared" si="7"/>
        <v>4.829544999999996</v>
      </c>
      <c r="M38" s="10">
        <v>0.71</v>
      </c>
      <c r="N38" s="10">
        <v>0.69803599999999999</v>
      </c>
      <c r="O38" s="18">
        <f t="shared" si="8"/>
        <v>1.1963999999999975E-2</v>
      </c>
    </row>
    <row r="40" spans="2:15" x14ac:dyDescent="0.2">
      <c r="C40" s="20" t="s">
        <v>28</v>
      </c>
      <c r="D40" s="14">
        <f t="shared" ref="D40:O40" si="9">AVERAGE(D24:D38)</f>
        <v>102.88133333333333</v>
      </c>
      <c r="E40" s="14">
        <f t="shared" si="9"/>
        <v>106.21537746666667</v>
      </c>
      <c r="F40" s="14">
        <f t="shared" si="9"/>
        <v>3.3340441333333342</v>
      </c>
      <c r="G40" s="14">
        <f t="shared" si="9"/>
        <v>39574.775333333324</v>
      </c>
      <c r="H40" s="14">
        <f t="shared" si="9"/>
        <v>41733.044840800001</v>
      </c>
      <c r="I40" s="14">
        <f t="shared" si="9"/>
        <v>2158.2695074666676</v>
      </c>
      <c r="J40" s="14">
        <f t="shared" si="9"/>
        <v>198.07733333333337</v>
      </c>
      <c r="K40" s="14">
        <f t="shared" si="9"/>
        <v>203.47152033333333</v>
      </c>
      <c r="L40" s="14">
        <f t="shared" si="9"/>
        <v>5.3941869999999961</v>
      </c>
      <c r="M40" s="21">
        <f t="shared" si="9"/>
        <v>0.64666666666666683</v>
      </c>
      <c r="N40" s="21">
        <f t="shared" si="9"/>
        <v>0.62582846666666658</v>
      </c>
      <c r="O40" s="21">
        <f t="shared" si="9"/>
        <v>2.0838200000000008E-2</v>
      </c>
    </row>
    <row r="41" spans="2:15" x14ac:dyDescent="0.2">
      <c r="C41" s="22" t="s">
        <v>29</v>
      </c>
      <c r="D41" s="23"/>
      <c r="E41" s="23"/>
      <c r="F41" s="24">
        <f>1-(D40/E40)</f>
        <v>3.138946744674187E-2</v>
      </c>
      <c r="G41" s="23"/>
      <c r="H41" s="23"/>
      <c r="I41" s="24">
        <f>1-(G40/H40)</f>
        <v>5.1716080523237062E-2</v>
      </c>
      <c r="J41" s="23"/>
      <c r="K41" s="23"/>
      <c r="L41" s="24">
        <f>1-(J40/K40)</f>
        <v>2.6510771586918058E-2</v>
      </c>
      <c r="M41" s="25"/>
      <c r="N41" s="25"/>
      <c r="O41" s="24">
        <f>1-(N40/M40)</f>
        <v>3.2224020618557114E-2</v>
      </c>
    </row>
    <row r="42" spans="2:15" x14ac:dyDescent="0.2">
      <c r="C42" s="20" t="s">
        <v>30</v>
      </c>
      <c r="D42" s="14"/>
      <c r="E42" s="14"/>
      <c r="F42" s="14"/>
      <c r="G42" s="14"/>
      <c r="H42" s="14"/>
      <c r="I42" s="14"/>
      <c r="J42" s="14"/>
      <c r="K42" s="14"/>
      <c r="L42" s="14"/>
      <c r="M42" s="17"/>
      <c r="N42" s="17"/>
      <c r="O42" s="21"/>
    </row>
  </sheetData>
  <mergeCells count="2">
    <mergeCell ref="B2:B17"/>
    <mergeCell ref="B23:B38"/>
  </mergeCells>
  <conditionalFormatting sqref="F3:F1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2:I1048576 I21:I39 I1:I1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2:L1048576 L21:L39 L1:L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:O18 O24:O39 O42:O1048576 O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4:F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2:O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D7D28-C484-BF45-9486-3CED58139A53}">
  <dimension ref="A1:K44"/>
  <sheetViews>
    <sheetView topLeftCell="A13" workbookViewId="0">
      <selection activeCell="H29" sqref="H29:K44"/>
    </sheetView>
  </sheetViews>
  <sheetFormatPr baseColWidth="10" defaultRowHeight="16" x14ac:dyDescent="0.2"/>
  <sheetData>
    <row r="1" spans="1:6" x14ac:dyDescent="0.2">
      <c r="A1" t="s">
        <v>24</v>
      </c>
    </row>
    <row r="5" spans="1:6" x14ac:dyDescent="0.2">
      <c r="B5" t="s">
        <v>0</v>
      </c>
      <c r="C5" t="s">
        <v>1</v>
      </c>
      <c r="D5" t="s">
        <v>2</v>
      </c>
      <c r="E5" t="s">
        <v>3</v>
      </c>
      <c r="F5" t="s">
        <v>4</v>
      </c>
    </row>
    <row r="6" spans="1:6" x14ac:dyDescent="0.2">
      <c r="A6">
        <v>0</v>
      </c>
      <c r="B6" t="s">
        <v>9</v>
      </c>
      <c r="C6">
        <v>125.69985800000001</v>
      </c>
      <c r="D6">
        <v>49195.341021</v>
      </c>
      <c r="E6">
        <v>221.800228</v>
      </c>
      <c r="F6">
        <v>0.57138199999999995</v>
      </c>
    </row>
    <row r="7" spans="1:6" x14ac:dyDescent="0.2">
      <c r="A7">
        <v>1</v>
      </c>
      <c r="B7" t="s">
        <v>10</v>
      </c>
      <c r="C7">
        <v>124.882936</v>
      </c>
      <c r="D7">
        <v>56259.687447999997</v>
      </c>
      <c r="E7">
        <v>237.191247</v>
      </c>
      <c r="F7">
        <v>0.50983299999999998</v>
      </c>
    </row>
    <row r="8" spans="1:6" x14ac:dyDescent="0.2">
      <c r="A8">
        <v>2</v>
      </c>
      <c r="B8" t="s">
        <v>11</v>
      </c>
      <c r="C8">
        <v>125.16394099999999</v>
      </c>
      <c r="D8">
        <v>49249.217314000001</v>
      </c>
      <c r="E8">
        <v>221.92164700000001</v>
      </c>
      <c r="F8">
        <v>0.57091199999999998</v>
      </c>
    </row>
    <row r="9" spans="1:6" x14ac:dyDescent="0.2">
      <c r="A9">
        <v>3</v>
      </c>
      <c r="B9" t="s">
        <v>12</v>
      </c>
      <c r="C9">
        <v>125.278592</v>
      </c>
      <c r="D9">
        <v>49233.014930999998</v>
      </c>
      <c r="E9">
        <v>221.88513900000001</v>
      </c>
      <c r="F9">
        <v>0.57105300000000003</v>
      </c>
    </row>
    <row r="10" spans="1:6" x14ac:dyDescent="0.2">
      <c r="A10">
        <v>4</v>
      </c>
      <c r="B10" t="s">
        <v>13</v>
      </c>
      <c r="C10">
        <v>91.583714000000001</v>
      </c>
      <c r="D10">
        <v>36841.446436999999</v>
      </c>
      <c r="E10">
        <v>191.941258</v>
      </c>
      <c r="F10">
        <v>0.67901599999999995</v>
      </c>
    </row>
    <row r="11" spans="1:6" x14ac:dyDescent="0.2">
      <c r="A11">
        <v>5</v>
      </c>
      <c r="B11" t="s">
        <v>14</v>
      </c>
      <c r="C11">
        <v>85.075612000000007</v>
      </c>
      <c r="D11">
        <v>43663.296310999998</v>
      </c>
      <c r="E11">
        <v>208.95764199999999</v>
      </c>
      <c r="F11">
        <v>0.61958000000000002</v>
      </c>
    </row>
    <row r="12" spans="1:6" x14ac:dyDescent="0.2">
      <c r="A12">
        <v>6</v>
      </c>
      <c r="B12" t="s">
        <v>15</v>
      </c>
      <c r="C12">
        <v>94.895409000000001</v>
      </c>
      <c r="D12">
        <v>30732.402199</v>
      </c>
      <c r="E12">
        <v>175.30659499999999</v>
      </c>
      <c r="F12">
        <v>0.73224199999999995</v>
      </c>
    </row>
    <row r="13" spans="1:6" x14ac:dyDescent="0.2">
      <c r="A13">
        <v>7</v>
      </c>
      <c r="B13" t="s">
        <v>16</v>
      </c>
      <c r="C13">
        <v>86.246128999999996</v>
      </c>
      <c r="D13">
        <v>22912.135472999998</v>
      </c>
      <c r="E13">
        <v>151.36755099999999</v>
      </c>
      <c r="F13">
        <v>0.80037599999999998</v>
      </c>
    </row>
    <row r="14" spans="1:6" x14ac:dyDescent="0.2">
      <c r="A14">
        <v>8</v>
      </c>
      <c r="B14" t="s">
        <v>17</v>
      </c>
      <c r="C14">
        <v>44.508994999999999</v>
      </c>
      <c r="D14">
        <v>4936.8987909999996</v>
      </c>
      <c r="E14">
        <v>70.263068000000004</v>
      </c>
      <c r="F14">
        <v>0.95698700000000003</v>
      </c>
    </row>
    <row r="15" spans="1:6" x14ac:dyDescent="0.2">
      <c r="A15">
        <v>9</v>
      </c>
      <c r="B15" t="s">
        <v>18</v>
      </c>
      <c r="C15">
        <v>71.112702999999996</v>
      </c>
      <c r="D15">
        <v>14925.927596</v>
      </c>
      <c r="E15">
        <v>122.17171399999999</v>
      </c>
      <c r="F15">
        <v>0.86995699999999998</v>
      </c>
    </row>
    <row r="16" spans="1:6" x14ac:dyDescent="0.2">
      <c r="A16">
        <v>10</v>
      </c>
      <c r="B16" t="s">
        <v>19</v>
      </c>
      <c r="C16">
        <v>97.249831</v>
      </c>
      <c r="D16">
        <v>34841.507279999998</v>
      </c>
      <c r="E16">
        <v>186.65879899999999</v>
      </c>
      <c r="F16">
        <v>0.69644099999999998</v>
      </c>
    </row>
    <row r="17" spans="1:11" x14ac:dyDescent="0.2">
      <c r="A17">
        <v>11</v>
      </c>
      <c r="B17" t="s">
        <v>20</v>
      </c>
      <c r="C17">
        <v>63.251004999999999</v>
      </c>
      <c r="D17">
        <v>12905.283133999999</v>
      </c>
      <c r="E17">
        <v>113.601422</v>
      </c>
      <c r="F17">
        <v>0.88756199999999996</v>
      </c>
    </row>
    <row r="18" spans="1:11" x14ac:dyDescent="0.2">
      <c r="A18">
        <v>12</v>
      </c>
      <c r="B18" t="s">
        <v>21</v>
      </c>
      <c r="C18">
        <v>64.507924000000003</v>
      </c>
      <c r="D18">
        <v>12780.435122999999</v>
      </c>
      <c r="E18">
        <v>113.05058699999999</v>
      </c>
      <c r="F18">
        <v>0.88864900000000002</v>
      </c>
    </row>
    <row r="19" spans="1:11" x14ac:dyDescent="0.2">
      <c r="A19">
        <v>13</v>
      </c>
      <c r="B19" t="s">
        <v>22</v>
      </c>
      <c r="C19">
        <v>85.656903</v>
      </c>
      <c r="D19">
        <v>27668.074894000001</v>
      </c>
      <c r="E19">
        <v>166.337232</v>
      </c>
      <c r="F19">
        <v>0.75893999999999995</v>
      </c>
    </row>
    <row r="20" spans="1:11" x14ac:dyDescent="0.2">
      <c r="A20">
        <v>14</v>
      </c>
      <c r="B20" t="s">
        <v>23</v>
      </c>
      <c r="C20">
        <v>71.022661999999997</v>
      </c>
      <c r="D20">
        <v>16420.859436999999</v>
      </c>
      <c r="E20">
        <v>128.143901</v>
      </c>
      <c r="F20">
        <v>0.85693200000000003</v>
      </c>
    </row>
    <row r="29" spans="1:11" x14ac:dyDescent="0.2">
      <c r="C29" t="s">
        <v>0</v>
      </c>
      <c r="D29" t="s">
        <v>1</v>
      </c>
      <c r="E29" t="s">
        <v>2</v>
      </c>
      <c r="F29" t="s">
        <v>3</v>
      </c>
      <c r="G29" t="s">
        <v>4</v>
      </c>
      <c r="H29" t="s">
        <v>5</v>
      </c>
      <c r="I29" t="s">
        <v>6</v>
      </c>
      <c r="J29" t="s">
        <v>7</v>
      </c>
      <c r="K29" t="s">
        <v>8</v>
      </c>
    </row>
    <row r="30" spans="1:11" x14ac:dyDescent="0.2">
      <c r="B30">
        <v>0</v>
      </c>
      <c r="C30" t="s">
        <v>9</v>
      </c>
      <c r="D30">
        <v>125.788905</v>
      </c>
      <c r="E30">
        <v>49245.154359</v>
      </c>
      <c r="F30">
        <v>221.91249300000001</v>
      </c>
      <c r="G30">
        <v>0.57395600000000002</v>
      </c>
      <c r="H30">
        <v>130.40171900000001</v>
      </c>
      <c r="I30">
        <v>49681.517094000003</v>
      </c>
      <c r="J30">
        <v>222.89351099999999</v>
      </c>
      <c r="K30">
        <v>0.55456399999999995</v>
      </c>
    </row>
    <row r="31" spans="1:11" x14ac:dyDescent="0.2">
      <c r="B31">
        <v>1</v>
      </c>
      <c r="C31" t="s">
        <v>10</v>
      </c>
      <c r="D31">
        <v>124.911176</v>
      </c>
      <c r="E31">
        <v>56461.389053999999</v>
      </c>
      <c r="F31">
        <v>237.61605399999999</v>
      </c>
      <c r="G31">
        <v>0.51152500000000001</v>
      </c>
      <c r="H31">
        <v>128.27119099999999</v>
      </c>
      <c r="I31">
        <v>55102.147107999997</v>
      </c>
      <c r="J31">
        <v>234.73846499999999</v>
      </c>
      <c r="K31">
        <v>0.50596300000000005</v>
      </c>
    </row>
    <row r="32" spans="1:11" x14ac:dyDescent="0.2">
      <c r="B32">
        <v>2</v>
      </c>
      <c r="C32" t="s">
        <v>11</v>
      </c>
      <c r="D32">
        <v>125.123059</v>
      </c>
      <c r="E32">
        <v>49321.795892000002</v>
      </c>
      <c r="F32">
        <v>222.08510999999999</v>
      </c>
      <c r="G32">
        <v>0.57329300000000005</v>
      </c>
      <c r="H32">
        <v>129.68304499999999</v>
      </c>
      <c r="I32">
        <v>49655.119371000001</v>
      </c>
      <c r="J32">
        <v>222.83428699999999</v>
      </c>
      <c r="K32">
        <v>0.55479999999999996</v>
      </c>
    </row>
    <row r="33" spans="2:11" x14ac:dyDescent="0.2">
      <c r="B33">
        <v>3</v>
      </c>
      <c r="C33" t="s">
        <v>12</v>
      </c>
      <c r="D33">
        <v>125.334586</v>
      </c>
      <c r="E33">
        <v>49289.503922000004</v>
      </c>
      <c r="F33">
        <v>222.012396</v>
      </c>
      <c r="G33">
        <v>0.57357199999999997</v>
      </c>
      <c r="H33">
        <v>129.88467800000001</v>
      </c>
      <c r="I33">
        <v>49648.306830000001</v>
      </c>
      <c r="J33">
        <v>222.81899999999999</v>
      </c>
      <c r="K33">
        <v>0.55486199999999997</v>
      </c>
    </row>
    <row r="34" spans="2:11" x14ac:dyDescent="0.2">
      <c r="B34">
        <v>4</v>
      </c>
      <c r="C34" t="s">
        <v>13</v>
      </c>
      <c r="D34">
        <v>93.937933999999998</v>
      </c>
      <c r="E34">
        <v>38447.813997999998</v>
      </c>
      <c r="F34">
        <v>196.081141</v>
      </c>
      <c r="G34">
        <v>0.66736899999999999</v>
      </c>
      <c r="H34">
        <v>108.798265</v>
      </c>
      <c r="I34">
        <v>49022.891413999998</v>
      </c>
      <c r="J34">
        <v>221.411137</v>
      </c>
      <c r="K34">
        <v>0.56046899999999999</v>
      </c>
    </row>
    <row r="35" spans="2:11" x14ac:dyDescent="0.2">
      <c r="B35">
        <v>5</v>
      </c>
      <c r="C35" t="s">
        <v>14</v>
      </c>
      <c r="D35">
        <v>84.385576</v>
      </c>
      <c r="E35">
        <v>43746.987738000003</v>
      </c>
      <c r="F35">
        <v>209.15780599999999</v>
      </c>
      <c r="G35">
        <v>0.62152300000000005</v>
      </c>
      <c r="H35">
        <v>95.612519000000006</v>
      </c>
      <c r="I35">
        <v>44776.427184</v>
      </c>
      <c r="J35">
        <v>211.604412</v>
      </c>
      <c r="K35">
        <v>0.59854200000000002</v>
      </c>
    </row>
    <row r="36" spans="2:11" x14ac:dyDescent="0.2">
      <c r="B36">
        <v>6</v>
      </c>
      <c r="C36" t="s">
        <v>15</v>
      </c>
      <c r="D36">
        <v>94.735163</v>
      </c>
      <c r="E36">
        <v>32146.736279000001</v>
      </c>
      <c r="F36">
        <v>179.295109</v>
      </c>
      <c r="G36">
        <v>0.72188300000000005</v>
      </c>
      <c r="H36">
        <v>110.181618</v>
      </c>
      <c r="I36">
        <v>44493.242431999999</v>
      </c>
      <c r="J36">
        <v>210.934214</v>
      </c>
      <c r="K36">
        <v>0.60108099999999998</v>
      </c>
    </row>
    <row r="37" spans="2:11" x14ac:dyDescent="0.2">
      <c r="B37">
        <v>7</v>
      </c>
      <c r="C37" t="s">
        <v>16</v>
      </c>
      <c r="D37">
        <v>85.131528000000003</v>
      </c>
      <c r="E37">
        <v>21575.158629000001</v>
      </c>
      <c r="F37">
        <v>146.88484800000001</v>
      </c>
      <c r="G37">
        <v>0.81334300000000004</v>
      </c>
      <c r="H37">
        <v>100.677978</v>
      </c>
      <c r="I37">
        <v>39364.220092000003</v>
      </c>
      <c r="J37">
        <v>198.40418399999999</v>
      </c>
      <c r="K37">
        <v>0.64706699999999995</v>
      </c>
    </row>
    <row r="38" spans="2:11" x14ac:dyDescent="0.2">
      <c r="B38">
        <v>8</v>
      </c>
      <c r="C38" t="s">
        <v>17</v>
      </c>
      <c r="D38">
        <v>41.226081000000001</v>
      </c>
      <c r="E38">
        <v>4139.9778699999997</v>
      </c>
      <c r="F38">
        <v>64.342659999999995</v>
      </c>
      <c r="G38">
        <v>0.96418300000000001</v>
      </c>
      <c r="H38">
        <v>90.239745999999997</v>
      </c>
      <c r="I38">
        <v>33037.399999000001</v>
      </c>
      <c r="J38">
        <v>181.761932</v>
      </c>
      <c r="K38">
        <v>0.70379199999999997</v>
      </c>
    </row>
    <row r="39" spans="2:11" x14ac:dyDescent="0.2">
      <c r="B39">
        <v>9</v>
      </c>
      <c r="C39" t="s">
        <v>18</v>
      </c>
      <c r="D39">
        <v>68.278546000000006</v>
      </c>
      <c r="E39">
        <v>13235.194444999999</v>
      </c>
      <c r="F39">
        <v>115.044315</v>
      </c>
      <c r="G39">
        <v>0.88549599999999995</v>
      </c>
      <c r="H39">
        <v>92.489565999999996</v>
      </c>
      <c r="I39">
        <v>33230.080622000001</v>
      </c>
      <c r="J39">
        <v>182.29119700000001</v>
      </c>
      <c r="K39">
        <v>0.70206500000000005</v>
      </c>
    </row>
    <row r="40" spans="2:11" x14ac:dyDescent="0.2">
      <c r="B40">
        <v>10</v>
      </c>
      <c r="C40" t="s">
        <v>19</v>
      </c>
      <c r="D40">
        <v>97.937185999999997</v>
      </c>
      <c r="E40">
        <v>35205.900559000002</v>
      </c>
      <c r="F40">
        <v>187.63235499999999</v>
      </c>
      <c r="G40">
        <v>0.69541699999999995</v>
      </c>
      <c r="H40">
        <v>108.604698</v>
      </c>
      <c r="I40">
        <v>40720.174353000002</v>
      </c>
      <c r="J40">
        <v>201.792404</v>
      </c>
      <c r="K40">
        <v>0.63490999999999997</v>
      </c>
    </row>
    <row r="41" spans="2:11" x14ac:dyDescent="0.2">
      <c r="B41">
        <v>11</v>
      </c>
      <c r="C41" t="s">
        <v>20</v>
      </c>
      <c r="D41">
        <v>57.090577000000003</v>
      </c>
      <c r="E41">
        <v>9364.1892459999999</v>
      </c>
      <c r="F41">
        <v>96.768741000000006</v>
      </c>
      <c r="G41">
        <v>0.91898599999999997</v>
      </c>
      <c r="H41">
        <v>88.524827000000002</v>
      </c>
      <c r="I41">
        <v>32677.219028</v>
      </c>
      <c r="J41">
        <v>180.76841300000001</v>
      </c>
      <c r="K41">
        <v>0.70702100000000001</v>
      </c>
    </row>
    <row r="42" spans="2:11" x14ac:dyDescent="0.2">
      <c r="B42">
        <v>12</v>
      </c>
      <c r="C42" t="s">
        <v>21</v>
      </c>
      <c r="D42">
        <v>55.73471</v>
      </c>
      <c r="E42">
        <v>8626.0456049999993</v>
      </c>
      <c r="F42">
        <v>92.876507000000004</v>
      </c>
      <c r="G42">
        <v>0.92537199999999997</v>
      </c>
      <c r="H42">
        <v>88.936452000000003</v>
      </c>
      <c r="I42">
        <v>32706.254438</v>
      </c>
      <c r="J42">
        <v>180.84870599999999</v>
      </c>
      <c r="K42">
        <v>0.70676099999999997</v>
      </c>
    </row>
    <row r="43" spans="2:11" x14ac:dyDescent="0.2">
      <c r="B43">
        <v>13</v>
      </c>
      <c r="C43" t="s">
        <v>22</v>
      </c>
      <c r="D43">
        <v>85.212354000000005</v>
      </c>
      <c r="E43">
        <v>27343.698564999999</v>
      </c>
      <c r="F43">
        <v>165.35930099999999</v>
      </c>
      <c r="G43">
        <v>0.763436</v>
      </c>
      <c r="H43">
        <v>98.943562</v>
      </c>
      <c r="I43">
        <v>38201.249146000002</v>
      </c>
      <c r="J43">
        <v>195.45139800000001</v>
      </c>
      <c r="K43">
        <v>0.65749400000000002</v>
      </c>
    </row>
    <row r="44" spans="2:11" x14ac:dyDescent="0.2">
      <c r="B44">
        <v>14</v>
      </c>
      <c r="C44" t="s">
        <v>23</v>
      </c>
      <c r="D44">
        <v>69.843806000000001</v>
      </c>
      <c r="E44">
        <v>15650.810439000001</v>
      </c>
      <c r="F44">
        <v>125.103199</v>
      </c>
      <c r="G44">
        <v>0.86459699999999995</v>
      </c>
      <c r="H44">
        <v>91.980797999999993</v>
      </c>
      <c r="I44">
        <v>33679.423500999997</v>
      </c>
      <c r="J44">
        <v>183.51954499999999</v>
      </c>
      <c r="K44">
        <v>0.69803599999999999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 Nasrabadi</dc:creator>
  <cp:lastModifiedBy>Dom Nasrabadi</cp:lastModifiedBy>
  <dcterms:created xsi:type="dcterms:W3CDTF">2023-03-12T21:33:04Z</dcterms:created>
  <dcterms:modified xsi:type="dcterms:W3CDTF">2023-03-13T06:29:35Z</dcterms:modified>
</cp:coreProperties>
</file>