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nasrabadi/Desktop/Airbnb-Sydney-Paper/"/>
    </mc:Choice>
  </mc:AlternateContent>
  <xr:revisionPtr revIDLastSave="0" documentId="13_ncr:1_{ED49EE66-B8A8-3B4A-ACCE-BB38CC1D8D1A}" xr6:coauthVersionLast="47" xr6:coauthVersionMax="47" xr10:uidLastSave="{00000000-0000-0000-0000-000000000000}"/>
  <bookViews>
    <workbookView xWindow="360" yWindow="500" windowWidth="27020" windowHeight="16940" xr2:uid="{15F59265-A5EF-1540-A6B6-7DF17B48FFA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K19" i="1"/>
  <c r="H19" i="1"/>
  <c r="E19" i="1"/>
  <c r="N20" i="1"/>
  <c r="K20" i="1"/>
  <c r="H20" i="1"/>
  <c r="E20" i="1"/>
  <c r="M19" i="1"/>
  <c r="L19" i="1"/>
  <c r="J19" i="1"/>
  <c r="I19" i="1"/>
  <c r="G19" i="1"/>
  <c r="F19" i="1"/>
  <c r="D19" i="1"/>
  <c r="C1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</calcChain>
</file>

<file path=xl/sharedStrings.xml><?xml version="1.0" encoding="utf-8"?>
<sst xmlns="http://schemas.openxmlformats.org/spreadsheetml/2006/main" count="64" uniqueCount="31">
  <si>
    <t>Model</t>
  </si>
  <si>
    <t>Train MAE</t>
  </si>
  <si>
    <t>Train MSE</t>
  </si>
  <si>
    <t>Train RMSE</t>
  </si>
  <si>
    <t>Train R2</t>
  </si>
  <si>
    <t>Test MAE</t>
  </si>
  <si>
    <t>Test MSE</t>
  </si>
  <si>
    <t>Test RMSE</t>
  </si>
  <si>
    <t>Test R2</t>
  </si>
  <si>
    <t>Linear Regression</t>
  </si>
  <si>
    <t>Lasso</t>
  </si>
  <si>
    <t>Ridge</t>
  </si>
  <si>
    <t>Elastic Net</t>
  </si>
  <si>
    <t>KNN</t>
  </si>
  <si>
    <t>SVR</t>
  </si>
  <si>
    <t>Decision Tree</t>
  </si>
  <si>
    <t>Random Forest</t>
  </si>
  <si>
    <t>XGBoost</t>
  </si>
  <si>
    <t>GBM</t>
  </si>
  <si>
    <t>MLP</t>
  </si>
  <si>
    <t>Stack All</t>
  </si>
  <si>
    <t>Stack Top 5</t>
  </si>
  <si>
    <t>Voting All</t>
  </si>
  <si>
    <t>Voting Top 5</t>
  </si>
  <si>
    <t>ModelTrain MAETrain MSETrain RMSETrain R20Linear Regression125.69985849195.341021221.8002280.5713821Lasso124.88293656259.687448237.1912470.5098332Ridge125.16394149249.217314221.9216470.5709123Elastic Net125.27859249233.014931221.8851390.5710534KNN91.58371436841.446437191.9412580.6790165SVR85.07561243663.296311208.9576420.6195806Decision Tree94.89540930732.402199175.3065950.7322427Random Forest86.24612922912.135473151.3675510.8003768XGBoost44.5089954936.89879170.2630680.9569879GBM71.11270314925.927596122.1717140.86995710MLP97.24983134841.507280186.6587990.69644111Stack All63.25100512905.283134113.6014220.88756212Stack Top 564.50792412780.435123113.0505870.88864913Voting All85.65690327668.074894166.3372320.75894014Voting Top 571.02266216420.859437128.1439010.856932</t>
  </si>
  <si>
    <t>diff</t>
  </si>
  <si>
    <t>with FE</t>
  </si>
  <si>
    <t>no FE</t>
  </si>
  <si>
    <t>Average</t>
  </si>
  <si>
    <t>% Boost in performance</t>
  </si>
  <si>
    <t>for smart features vs without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</si>
</sst>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166" fontId="0" fillId="0" borderId="0" xfId="0" applyNumberFormat="1"/>
    <xf numFmtId="167" fontId="0" fillId="0" borderId="0" xfId="0" applyNumberFormat="1"/>
    <xf numFmtId="167" fontId="0" fillId="0" borderId="1" xfId="0" applyNumberFormat="1" applyBorder="1" applyAlignment="1">
      <alignment horizontal="center"/>
    </xf>
    <xf numFmtId="167" fontId="0" fillId="2" borderId="1" xfId="0" applyNumberFormat="1" applyFill="1" applyBorder="1"/>
    <xf numFmtId="167" fontId="0" fillId="3" borderId="1" xfId="0" applyNumberFormat="1" applyFill="1" applyBorder="1"/>
    <xf numFmtId="9" fontId="0" fillId="0" borderId="1" xfId="0" applyNumberFormat="1" applyBorder="1" applyAlignment="1">
      <alignment horizontal="center"/>
    </xf>
    <xf numFmtId="9" fontId="0" fillId="2" borderId="1" xfId="0" applyNumberFormat="1" applyFill="1" applyBorder="1"/>
    <xf numFmtId="9" fontId="0" fillId="3" borderId="1" xfId="0" applyNumberFormat="1" applyFill="1" applyBorder="1"/>
    <xf numFmtId="9" fontId="0" fillId="0" borderId="0" xfId="0" applyNumberFormat="1"/>
    <xf numFmtId="167" fontId="0" fillId="0" borderId="2" xfId="0" applyNumberFormat="1" applyBorder="1"/>
    <xf numFmtId="167" fontId="0" fillId="4" borderId="3" xfId="0" applyNumberFormat="1" applyFill="1" applyBorder="1"/>
    <xf numFmtId="167" fontId="0" fillId="0" borderId="4" xfId="0" applyNumberFormat="1" applyBorder="1"/>
    <xf numFmtId="167" fontId="0" fillId="0" borderId="0" xfId="0" applyNumberFormat="1" applyBorder="1"/>
    <xf numFmtId="167" fontId="0" fillId="0" borderId="3" xfId="0" applyNumberFormat="1" applyBorder="1"/>
    <xf numFmtId="167" fontId="0" fillId="0" borderId="5" xfId="0" applyNumberFormat="1" applyBorder="1"/>
    <xf numFmtId="167" fontId="0" fillId="0" borderId="6" xfId="0" applyNumberFormat="1" applyBorder="1"/>
    <xf numFmtId="167" fontId="0" fillId="0" borderId="7" xfId="0" applyNumberFormat="1" applyBorder="1"/>
    <xf numFmtId="166" fontId="0" fillId="0" borderId="2" xfId="0" applyNumberFormat="1" applyBorder="1"/>
    <xf numFmtId="166" fontId="0" fillId="4" borderId="3" xfId="0" applyNumberFormat="1" applyFill="1" applyBorder="1"/>
    <xf numFmtId="9" fontId="0" fillId="0" borderId="4" xfId="0" applyNumberFormat="1" applyBorder="1"/>
    <xf numFmtId="9" fontId="0" fillId="0" borderId="0" xfId="0" applyNumberFormat="1" applyBorder="1"/>
    <xf numFmtId="166" fontId="0" fillId="0" borderId="3" xfId="0" applyNumberFormat="1" applyBorder="1"/>
    <xf numFmtId="9" fontId="0" fillId="0" borderId="5" xfId="0" applyNumberFormat="1" applyBorder="1"/>
    <xf numFmtId="9" fontId="0" fillId="0" borderId="6" xfId="0" applyNumberFormat="1" applyBorder="1"/>
    <xf numFmtId="166" fontId="0" fillId="0" borderId="7" xfId="0" applyNumberFormat="1" applyBorder="1"/>
    <xf numFmtId="0" fontId="0" fillId="0" borderId="1" xfId="0" applyBorder="1"/>
    <xf numFmtId="0" fontId="0" fillId="0" borderId="6" xfId="0" applyBorder="1"/>
    <xf numFmtId="166" fontId="0" fillId="0" borderId="6" xfId="0" applyNumberFormat="1" applyBorder="1"/>
    <xf numFmtId="0" fontId="0" fillId="0" borderId="8" xfId="0" applyBorder="1"/>
    <xf numFmtId="167" fontId="0" fillId="0" borderId="8" xfId="0" applyNumberFormat="1" applyBorder="1"/>
    <xf numFmtId="10" fontId="1" fillId="0" borderId="8" xfId="0" applyNumberFormat="1" applyFont="1" applyBorder="1"/>
    <xf numFmtId="9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D94E-AF58-4B48-B8FA-B463ED1B4E32}">
  <dimension ref="B1:R21"/>
  <sheetViews>
    <sheetView tabSelected="1" zoomScale="150" workbookViewId="0">
      <selection activeCell="I14" sqref="I14"/>
    </sheetView>
  </sheetViews>
  <sheetFormatPr baseColWidth="10" defaultRowHeight="16" x14ac:dyDescent="0.2"/>
  <cols>
    <col min="2" max="2" width="18.1640625" bestFit="1" customWidth="1"/>
    <col min="3" max="4" width="9.6640625" style="3" bestFit="1" customWidth="1"/>
    <col min="5" max="5" width="6.1640625" style="3" bestFit="1" customWidth="1"/>
    <col min="6" max="7" width="9.5" style="3" bestFit="1" customWidth="1"/>
    <col min="8" max="8" width="7.33203125" style="3" bestFit="1" customWidth="1"/>
    <col min="9" max="10" width="10.6640625" style="3" bestFit="1" customWidth="1"/>
    <col min="11" max="11" width="6.1640625" style="3" bestFit="1" customWidth="1"/>
    <col min="12" max="13" width="8" style="10" bestFit="1" customWidth="1"/>
    <col min="14" max="14" width="6.83203125" style="2" bestFit="1" customWidth="1"/>
  </cols>
  <sheetData>
    <row r="1" spans="2:18" x14ac:dyDescent="0.2">
      <c r="C1" s="4" t="s">
        <v>26</v>
      </c>
      <c r="D1" s="4" t="s">
        <v>27</v>
      </c>
      <c r="E1" s="11"/>
      <c r="F1" s="4" t="s">
        <v>26</v>
      </c>
      <c r="G1" s="4" t="s">
        <v>27</v>
      </c>
      <c r="H1" s="11"/>
      <c r="I1" s="4" t="s">
        <v>26</v>
      </c>
      <c r="J1" s="4" t="s">
        <v>27</v>
      </c>
      <c r="K1" s="11"/>
      <c r="L1" s="7" t="s">
        <v>26</v>
      </c>
      <c r="M1" s="7" t="s">
        <v>27</v>
      </c>
      <c r="N1" s="19"/>
    </row>
    <row r="2" spans="2:18" x14ac:dyDescent="0.2">
      <c r="B2" s="27" t="s">
        <v>0</v>
      </c>
      <c r="C2" s="5" t="s">
        <v>1</v>
      </c>
      <c r="D2" s="6" t="s">
        <v>1</v>
      </c>
      <c r="E2" s="12" t="s">
        <v>25</v>
      </c>
      <c r="F2" s="5" t="s">
        <v>2</v>
      </c>
      <c r="G2" s="6" t="s">
        <v>2</v>
      </c>
      <c r="H2" s="12" t="s">
        <v>25</v>
      </c>
      <c r="I2" s="5" t="s">
        <v>3</v>
      </c>
      <c r="J2" s="6" t="s">
        <v>3</v>
      </c>
      <c r="K2" s="12" t="s">
        <v>25</v>
      </c>
      <c r="L2" s="8" t="s">
        <v>4</v>
      </c>
      <c r="M2" s="9" t="s">
        <v>4</v>
      </c>
      <c r="N2" s="20" t="s">
        <v>25</v>
      </c>
      <c r="O2" s="1" t="s">
        <v>5</v>
      </c>
      <c r="P2" s="1" t="s">
        <v>6</v>
      </c>
      <c r="Q2" s="1" t="s">
        <v>7</v>
      </c>
      <c r="R2" s="1" t="s">
        <v>8</v>
      </c>
    </row>
    <row r="3" spans="2:18" x14ac:dyDescent="0.2">
      <c r="B3" s="27" t="s">
        <v>9</v>
      </c>
      <c r="C3" s="13">
        <v>122.31</v>
      </c>
      <c r="D3" s="14">
        <v>125.69985800000001</v>
      </c>
      <c r="E3" s="15">
        <f>D3-C3</f>
        <v>3.3898580000000038</v>
      </c>
      <c r="F3" s="13">
        <v>44151.44</v>
      </c>
      <c r="G3" s="14">
        <v>49195.341021</v>
      </c>
      <c r="H3" s="15">
        <f>G3-F3</f>
        <v>5043.9010209999979</v>
      </c>
      <c r="I3" s="13">
        <v>210.12</v>
      </c>
      <c r="J3" s="14">
        <v>221.800228</v>
      </c>
      <c r="K3" s="15">
        <f>J3-I3</f>
        <v>11.680228</v>
      </c>
      <c r="L3" s="21">
        <v>0.62</v>
      </c>
      <c r="M3" s="22">
        <v>0.57138199999999995</v>
      </c>
      <c r="N3" s="23">
        <f>L3-M3</f>
        <v>4.861800000000005E-2</v>
      </c>
      <c r="O3">
        <v>127.76</v>
      </c>
      <c r="P3">
        <v>45125.23</v>
      </c>
      <c r="Q3">
        <v>212.43</v>
      </c>
      <c r="R3">
        <v>0.6</v>
      </c>
    </row>
    <row r="4" spans="2:18" x14ac:dyDescent="0.2">
      <c r="B4" s="27" t="s">
        <v>10</v>
      </c>
      <c r="C4" s="13">
        <v>118.11</v>
      </c>
      <c r="D4" s="14">
        <v>124.882936</v>
      </c>
      <c r="E4" s="15">
        <f t="shared" ref="E4:E17" si="0">D4-C4</f>
        <v>6.7729360000000014</v>
      </c>
      <c r="F4" s="13">
        <v>52413.8</v>
      </c>
      <c r="G4" s="14">
        <v>56259.687447999997</v>
      </c>
      <c r="H4" s="15">
        <f t="shared" ref="H4:H17" si="1">G4-F4</f>
        <v>3845.887447999994</v>
      </c>
      <c r="I4" s="13">
        <v>228.94</v>
      </c>
      <c r="J4" s="14">
        <v>237.191247</v>
      </c>
      <c r="K4" s="15">
        <f t="shared" ref="K4:K17" si="2">J4-I4</f>
        <v>8.2512470000000064</v>
      </c>
      <c r="L4" s="21">
        <v>0.55000000000000004</v>
      </c>
      <c r="M4" s="22">
        <v>0.50983299999999998</v>
      </c>
      <c r="N4" s="23">
        <f t="shared" ref="N4:N17" si="3">L4-M4</f>
        <v>4.0167000000000064E-2</v>
      </c>
      <c r="O4">
        <v>122.53</v>
      </c>
      <c r="P4">
        <v>51467.71</v>
      </c>
      <c r="Q4">
        <v>226.86</v>
      </c>
      <c r="R4">
        <v>0.54</v>
      </c>
    </row>
    <row r="5" spans="2:18" x14ac:dyDescent="0.2">
      <c r="B5" s="27" t="s">
        <v>11</v>
      </c>
      <c r="C5" s="13">
        <v>121.45</v>
      </c>
      <c r="D5" s="14">
        <v>125.16394099999999</v>
      </c>
      <c r="E5" s="15">
        <f t="shared" si="0"/>
        <v>3.7139409999999913</v>
      </c>
      <c r="F5" s="13">
        <v>44349.84</v>
      </c>
      <c r="G5" s="14">
        <v>49249.217314000001</v>
      </c>
      <c r="H5" s="15">
        <f t="shared" si="1"/>
        <v>4899.3773140000048</v>
      </c>
      <c r="I5" s="13">
        <v>210.59</v>
      </c>
      <c r="J5" s="14">
        <v>221.92164700000001</v>
      </c>
      <c r="K5" s="15">
        <f t="shared" si="2"/>
        <v>11.331647000000004</v>
      </c>
      <c r="L5" s="21">
        <v>0.62</v>
      </c>
      <c r="M5" s="22">
        <v>0.57091199999999998</v>
      </c>
      <c r="N5" s="23">
        <f t="shared" si="3"/>
        <v>4.9088000000000021E-2</v>
      </c>
      <c r="O5">
        <v>126.58</v>
      </c>
      <c r="P5">
        <v>45108.639999999999</v>
      </c>
      <c r="Q5">
        <v>212.39</v>
      </c>
      <c r="R5">
        <v>0.6</v>
      </c>
    </row>
    <row r="6" spans="2:18" x14ac:dyDescent="0.2">
      <c r="B6" s="27" t="s">
        <v>12</v>
      </c>
      <c r="C6" s="13">
        <v>121.66</v>
      </c>
      <c r="D6" s="14">
        <v>125.278592</v>
      </c>
      <c r="E6" s="15">
        <f t="shared" si="0"/>
        <v>3.6185920000000067</v>
      </c>
      <c r="F6" s="13">
        <v>44286.14</v>
      </c>
      <c r="G6" s="14">
        <v>49233.014930999998</v>
      </c>
      <c r="H6" s="15">
        <f t="shared" si="1"/>
        <v>4946.8749309999985</v>
      </c>
      <c r="I6" s="13">
        <v>210.44</v>
      </c>
      <c r="J6" s="14">
        <v>221.88513900000001</v>
      </c>
      <c r="K6" s="15">
        <f t="shared" si="2"/>
        <v>11.445139000000012</v>
      </c>
      <c r="L6" s="21">
        <v>0.62</v>
      </c>
      <c r="M6" s="22">
        <v>0.57105300000000003</v>
      </c>
      <c r="N6" s="23">
        <f t="shared" si="3"/>
        <v>4.8946999999999963E-2</v>
      </c>
      <c r="O6">
        <v>126.85</v>
      </c>
      <c r="P6">
        <v>45082.53</v>
      </c>
      <c r="Q6">
        <v>212.33</v>
      </c>
      <c r="R6">
        <v>0.6</v>
      </c>
    </row>
    <row r="7" spans="2:18" x14ac:dyDescent="0.2">
      <c r="B7" s="27" t="s">
        <v>13</v>
      </c>
      <c r="C7" s="13">
        <v>92.62</v>
      </c>
      <c r="D7" s="14">
        <v>91.583714000000001</v>
      </c>
      <c r="E7" s="15">
        <f t="shared" si="0"/>
        <v>-1.036286000000004</v>
      </c>
      <c r="F7" s="13">
        <v>38310.76</v>
      </c>
      <c r="G7" s="14">
        <v>36841.446436999999</v>
      </c>
      <c r="H7" s="15">
        <f t="shared" si="1"/>
        <v>-1469.3135630000033</v>
      </c>
      <c r="I7" s="13">
        <v>195.73</v>
      </c>
      <c r="J7" s="14">
        <v>191.941258</v>
      </c>
      <c r="K7" s="15">
        <f t="shared" si="2"/>
        <v>-3.788741999999985</v>
      </c>
      <c r="L7" s="21">
        <v>0.67</v>
      </c>
      <c r="M7" s="22">
        <v>0.67901599999999995</v>
      </c>
      <c r="N7" s="23">
        <f t="shared" si="3"/>
        <v>-9.015999999999913E-3</v>
      </c>
      <c r="O7">
        <v>109.12</v>
      </c>
      <c r="P7">
        <v>50655.77</v>
      </c>
      <c r="Q7">
        <v>225.07</v>
      </c>
      <c r="R7">
        <v>0.55000000000000004</v>
      </c>
    </row>
    <row r="8" spans="2:18" x14ac:dyDescent="0.2">
      <c r="B8" s="27" t="s">
        <v>14</v>
      </c>
      <c r="C8" s="13">
        <v>64.33</v>
      </c>
      <c r="D8" s="14">
        <v>85.075612000000007</v>
      </c>
      <c r="E8" s="15">
        <f t="shared" si="0"/>
        <v>20.745612000000008</v>
      </c>
      <c r="F8" s="13">
        <v>33667.31</v>
      </c>
      <c r="G8" s="14">
        <v>43663.296310999998</v>
      </c>
      <c r="H8" s="15">
        <f t="shared" si="1"/>
        <v>9995.9863110000006</v>
      </c>
      <c r="I8" s="13">
        <v>183.49</v>
      </c>
      <c r="J8" s="14">
        <v>208.95764199999999</v>
      </c>
      <c r="K8" s="15">
        <f t="shared" si="2"/>
        <v>25.467641999999984</v>
      </c>
      <c r="L8" s="21">
        <v>0.71</v>
      </c>
      <c r="M8" s="22">
        <v>0.61958000000000002</v>
      </c>
      <c r="N8" s="23">
        <f t="shared" si="3"/>
        <v>9.0419999999999945E-2</v>
      </c>
      <c r="O8">
        <v>88.28</v>
      </c>
      <c r="P8">
        <v>37771.449999999997</v>
      </c>
      <c r="Q8">
        <v>194.35</v>
      </c>
      <c r="R8">
        <v>0.66</v>
      </c>
    </row>
    <row r="9" spans="2:18" x14ac:dyDescent="0.2">
      <c r="B9" s="27" t="s">
        <v>15</v>
      </c>
      <c r="C9" s="13">
        <v>89.96</v>
      </c>
      <c r="D9" s="14">
        <v>94.895409000000001</v>
      </c>
      <c r="E9" s="15">
        <f t="shared" si="0"/>
        <v>4.935409000000007</v>
      </c>
      <c r="F9" s="13">
        <v>29580.33</v>
      </c>
      <c r="G9" s="14">
        <v>30732.402199</v>
      </c>
      <c r="H9" s="15">
        <f t="shared" si="1"/>
        <v>1152.0721989999984</v>
      </c>
      <c r="I9" s="13">
        <v>171.99</v>
      </c>
      <c r="J9" s="14">
        <v>175.30659499999999</v>
      </c>
      <c r="K9" s="15">
        <f t="shared" si="2"/>
        <v>3.3165949999999782</v>
      </c>
      <c r="L9" s="21">
        <v>0.74</v>
      </c>
      <c r="M9" s="22">
        <v>0.73224199999999995</v>
      </c>
      <c r="N9" s="23">
        <f t="shared" si="3"/>
        <v>7.7580000000000426E-3</v>
      </c>
      <c r="O9">
        <v>108.02</v>
      </c>
      <c r="P9">
        <v>49359.53</v>
      </c>
      <c r="Q9">
        <v>222.17</v>
      </c>
      <c r="R9">
        <v>0.56000000000000005</v>
      </c>
    </row>
    <row r="10" spans="2:18" x14ac:dyDescent="0.2">
      <c r="B10" s="27" t="s">
        <v>16</v>
      </c>
      <c r="C10" s="13">
        <v>83.75</v>
      </c>
      <c r="D10" s="14">
        <v>86.246128999999996</v>
      </c>
      <c r="E10" s="15">
        <f t="shared" si="0"/>
        <v>2.4961289999999963</v>
      </c>
      <c r="F10" s="13">
        <v>21873.13</v>
      </c>
      <c r="G10" s="14">
        <v>22912.135472999998</v>
      </c>
      <c r="H10" s="15">
        <f t="shared" si="1"/>
        <v>1039.0054729999974</v>
      </c>
      <c r="I10" s="13">
        <v>147.9</v>
      </c>
      <c r="J10" s="14">
        <v>151.36755099999999</v>
      </c>
      <c r="K10" s="15">
        <f t="shared" si="2"/>
        <v>3.4675509999999861</v>
      </c>
      <c r="L10" s="21">
        <v>0.81</v>
      </c>
      <c r="M10" s="22">
        <v>0.80037599999999998</v>
      </c>
      <c r="N10" s="23">
        <f t="shared" si="3"/>
        <v>9.6240000000000769E-3</v>
      </c>
      <c r="O10">
        <v>99.54</v>
      </c>
      <c r="P10">
        <v>39450.589999999997</v>
      </c>
      <c r="Q10">
        <v>198.62</v>
      </c>
      <c r="R10">
        <v>0.65</v>
      </c>
    </row>
    <row r="11" spans="2:18" x14ac:dyDescent="0.2">
      <c r="B11" s="27" t="s">
        <v>17</v>
      </c>
      <c r="C11" s="13">
        <v>37.729999999999997</v>
      </c>
      <c r="D11" s="14">
        <v>44.508994999999999</v>
      </c>
      <c r="E11" s="15">
        <f t="shared" si="0"/>
        <v>6.7789950000000019</v>
      </c>
      <c r="F11" s="13">
        <v>3410.31</v>
      </c>
      <c r="G11" s="14">
        <v>4936.8987909999996</v>
      </c>
      <c r="H11" s="15">
        <f t="shared" si="1"/>
        <v>1526.5887909999997</v>
      </c>
      <c r="I11" s="13">
        <v>58.4</v>
      </c>
      <c r="J11" s="14">
        <v>70.263068000000004</v>
      </c>
      <c r="K11" s="15">
        <f t="shared" si="2"/>
        <v>11.863068000000005</v>
      </c>
      <c r="L11" s="21">
        <v>0.97</v>
      </c>
      <c r="M11" s="22">
        <v>0.95698700000000003</v>
      </c>
      <c r="N11" s="23">
        <f t="shared" si="3"/>
        <v>1.3012999999999941E-2</v>
      </c>
      <c r="O11">
        <v>87.6</v>
      </c>
      <c r="P11">
        <v>32339.47</v>
      </c>
      <c r="Q11">
        <v>179.83</v>
      </c>
      <c r="R11">
        <v>0.71</v>
      </c>
    </row>
    <row r="12" spans="2:18" x14ac:dyDescent="0.2">
      <c r="B12" s="27" t="s">
        <v>18</v>
      </c>
      <c r="C12" s="13">
        <v>63.7</v>
      </c>
      <c r="D12" s="14">
        <v>71.112702999999996</v>
      </c>
      <c r="E12" s="15">
        <f t="shared" si="0"/>
        <v>7.4127029999999934</v>
      </c>
      <c r="F12" s="13">
        <v>11335.11</v>
      </c>
      <c r="G12" s="14">
        <v>14925.927596</v>
      </c>
      <c r="H12" s="15">
        <f t="shared" si="1"/>
        <v>3590.817595999999</v>
      </c>
      <c r="I12" s="13">
        <v>106.47</v>
      </c>
      <c r="J12" s="14">
        <v>122.17171399999999</v>
      </c>
      <c r="K12" s="15">
        <f t="shared" si="2"/>
        <v>15.701713999999996</v>
      </c>
      <c r="L12" s="21">
        <v>0.9</v>
      </c>
      <c r="M12" s="22">
        <v>0.86995699999999998</v>
      </c>
      <c r="N12" s="23">
        <f t="shared" si="3"/>
        <v>3.0043000000000042E-2</v>
      </c>
      <c r="O12">
        <v>89.07</v>
      </c>
      <c r="P12">
        <v>31544.11</v>
      </c>
      <c r="Q12">
        <v>177.61</v>
      </c>
      <c r="R12">
        <v>0.72</v>
      </c>
    </row>
    <row r="13" spans="2:18" x14ac:dyDescent="0.2">
      <c r="B13" s="27" t="s">
        <v>19</v>
      </c>
      <c r="C13" s="13">
        <v>92.03</v>
      </c>
      <c r="D13" s="14">
        <v>97.249831</v>
      </c>
      <c r="E13" s="15">
        <f t="shared" si="0"/>
        <v>5.2198309999999992</v>
      </c>
      <c r="F13" s="13">
        <v>29271.83</v>
      </c>
      <c r="G13" s="14">
        <v>34841.507279999998</v>
      </c>
      <c r="H13" s="15">
        <f t="shared" si="1"/>
        <v>5569.6772799999962</v>
      </c>
      <c r="I13" s="13">
        <v>171.09</v>
      </c>
      <c r="J13" s="14">
        <v>186.65879899999999</v>
      </c>
      <c r="K13" s="15">
        <f t="shared" si="2"/>
        <v>15.568798999999984</v>
      </c>
      <c r="L13" s="21">
        <v>0.75</v>
      </c>
      <c r="M13" s="22">
        <v>0.69644099999999998</v>
      </c>
      <c r="N13" s="23">
        <f t="shared" si="3"/>
        <v>5.3559000000000023E-2</v>
      </c>
      <c r="O13">
        <v>105.66</v>
      </c>
      <c r="P13">
        <v>37546.050000000003</v>
      </c>
      <c r="Q13">
        <v>193.77</v>
      </c>
      <c r="R13">
        <v>0.66</v>
      </c>
    </row>
    <row r="14" spans="2:18" x14ac:dyDescent="0.2">
      <c r="B14" s="27" t="s">
        <v>20</v>
      </c>
      <c r="C14" s="13">
        <v>52.14</v>
      </c>
      <c r="D14" s="14">
        <v>63.251004999999999</v>
      </c>
      <c r="E14" s="15">
        <f t="shared" si="0"/>
        <v>11.111004999999999</v>
      </c>
      <c r="F14" s="13">
        <v>8339.74</v>
      </c>
      <c r="G14" s="14">
        <v>12905.283133999999</v>
      </c>
      <c r="H14" s="15">
        <f t="shared" si="1"/>
        <v>4565.5431339999996</v>
      </c>
      <c r="I14" s="13">
        <v>91.32</v>
      </c>
      <c r="J14" s="14">
        <v>113.601422</v>
      </c>
      <c r="K14" s="15">
        <f t="shared" si="2"/>
        <v>22.281422000000006</v>
      </c>
      <c r="L14" s="21">
        <v>0.93</v>
      </c>
      <c r="M14" s="22">
        <v>0.88756199999999996</v>
      </c>
      <c r="N14" s="23">
        <f t="shared" si="3"/>
        <v>4.2438000000000087E-2</v>
      </c>
      <c r="O14">
        <v>84.29</v>
      </c>
      <c r="P14">
        <v>30181.13</v>
      </c>
      <c r="Q14">
        <v>173.73</v>
      </c>
      <c r="R14">
        <v>0.73</v>
      </c>
    </row>
    <row r="15" spans="2:18" x14ac:dyDescent="0.2">
      <c r="B15" s="27" t="s">
        <v>21</v>
      </c>
      <c r="C15" s="13">
        <v>53.19</v>
      </c>
      <c r="D15" s="14">
        <v>64.507924000000003</v>
      </c>
      <c r="E15" s="15">
        <f t="shared" si="0"/>
        <v>11.317924000000005</v>
      </c>
      <c r="F15" s="13">
        <v>7793.99</v>
      </c>
      <c r="G15" s="14">
        <v>12780.435122999999</v>
      </c>
      <c r="H15" s="15">
        <f t="shared" si="1"/>
        <v>4986.4451229999995</v>
      </c>
      <c r="I15" s="13">
        <v>88.28</v>
      </c>
      <c r="J15" s="14">
        <v>113.05058699999999</v>
      </c>
      <c r="K15" s="15">
        <f t="shared" si="2"/>
        <v>24.770586999999992</v>
      </c>
      <c r="L15" s="21">
        <v>0.93</v>
      </c>
      <c r="M15" s="22">
        <v>0.88864900000000002</v>
      </c>
      <c r="N15" s="23">
        <f t="shared" si="3"/>
        <v>4.1351000000000027E-2</v>
      </c>
      <c r="O15">
        <v>86.3</v>
      </c>
      <c r="P15">
        <v>30985.27</v>
      </c>
      <c r="Q15">
        <v>176.03</v>
      </c>
      <c r="R15">
        <v>0.72</v>
      </c>
    </row>
    <row r="16" spans="2:18" x14ac:dyDescent="0.2">
      <c r="B16" s="27" t="s">
        <v>22</v>
      </c>
      <c r="C16" s="13">
        <v>78.19</v>
      </c>
      <c r="D16" s="14">
        <v>85.656903</v>
      </c>
      <c r="E16" s="15">
        <f t="shared" si="0"/>
        <v>7.4669030000000021</v>
      </c>
      <c r="F16" s="13">
        <v>23870.799999999999</v>
      </c>
      <c r="G16" s="14">
        <v>27668.074894000001</v>
      </c>
      <c r="H16" s="15">
        <f t="shared" si="1"/>
        <v>3797.274894000002</v>
      </c>
      <c r="I16" s="13">
        <v>154.5</v>
      </c>
      <c r="J16" s="14">
        <v>166.337232</v>
      </c>
      <c r="K16" s="15">
        <f t="shared" si="2"/>
        <v>11.837232</v>
      </c>
      <c r="L16" s="21">
        <v>0.79</v>
      </c>
      <c r="M16" s="22">
        <v>0.75893999999999995</v>
      </c>
      <c r="N16" s="23">
        <f t="shared" si="3"/>
        <v>3.1060000000000088E-2</v>
      </c>
      <c r="O16">
        <v>93.66</v>
      </c>
      <c r="P16">
        <v>35072.39</v>
      </c>
      <c r="Q16">
        <v>187.28</v>
      </c>
      <c r="R16">
        <v>0.69</v>
      </c>
    </row>
    <row r="17" spans="2:18" x14ac:dyDescent="0.2">
      <c r="B17" s="27" t="s">
        <v>23</v>
      </c>
      <c r="C17" s="16">
        <v>64.430000000000007</v>
      </c>
      <c r="D17" s="17">
        <v>71.022661999999997</v>
      </c>
      <c r="E17" s="18">
        <f t="shared" si="0"/>
        <v>6.59266199999999</v>
      </c>
      <c r="F17" s="16">
        <v>13535.83</v>
      </c>
      <c r="G17" s="17">
        <v>16420.859436999999</v>
      </c>
      <c r="H17" s="18">
        <f t="shared" si="1"/>
        <v>2885.0294369999992</v>
      </c>
      <c r="I17" s="16">
        <v>116.34</v>
      </c>
      <c r="J17" s="17">
        <v>128.143901</v>
      </c>
      <c r="K17" s="18">
        <f t="shared" si="2"/>
        <v>11.803900999999996</v>
      </c>
      <c r="L17" s="24">
        <v>0.88</v>
      </c>
      <c r="M17" s="25">
        <v>0.85693200000000003</v>
      </c>
      <c r="N17" s="26">
        <f t="shared" si="3"/>
        <v>2.3067999999999977E-2</v>
      </c>
      <c r="O17">
        <v>87.96</v>
      </c>
      <c r="P17">
        <v>31931.759999999998</v>
      </c>
      <c r="Q17">
        <v>178.69</v>
      </c>
      <c r="R17">
        <v>0.71</v>
      </c>
    </row>
    <row r="19" spans="2:18" x14ac:dyDescent="0.2">
      <c r="B19" s="28" t="s">
        <v>28</v>
      </c>
      <c r="C19" s="17">
        <f>AVERAGE(C3:C17)</f>
        <v>83.706666666666692</v>
      </c>
      <c r="D19" s="17">
        <f>AVERAGE(D3:D17)</f>
        <v>90.409080933333357</v>
      </c>
      <c r="E19" s="17">
        <f>AVERAGE(E3:E17)</f>
        <v>6.7024142666666666</v>
      </c>
      <c r="F19" s="17">
        <f>AVERAGE(F3:F17)</f>
        <v>27079.357333333337</v>
      </c>
      <c r="G19" s="17">
        <f>AVERAGE(G3:G17)</f>
        <v>30837.701825933342</v>
      </c>
      <c r="H19" s="17">
        <f>AVERAGE(H3:H17)</f>
        <v>3758.3444925999988</v>
      </c>
      <c r="I19" s="17">
        <f>AVERAGE(I3:I17)</f>
        <v>156.37333333333336</v>
      </c>
      <c r="J19" s="17">
        <f>AVERAGE(J3:J17)</f>
        <v>168.70653533333333</v>
      </c>
      <c r="K19" s="17">
        <f>AVERAGE(K3:K17)</f>
        <v>12.333201999999996</v>
      </c>
      <c r="L19" s="29">
        <f>AVERAGE(L3:L17)</f>
        <v>0.76600000000000001</v>
      </c>
      <c r="M19" s="29">
        <f>AVERAGE(M3:M17)</f>
        <v>0.73132413333333324</v>
      </c>
      <c r="N19" s="29">
        <f>AVERAGE(N3:N17)</f>
        <v>3.4675866666666694E-2</v>
      </c>
    </row>
    <row r="20" spans="2:18" x14ac:dyDescent="0.2">
      <c r="B20" s="30" t="s">
        <v>29</v>
      </c>
      <c r="C20" s="31"/>
      <c r="D20" s="31"/>
      <c r="E20" s="32">
        <f>1-(C19/D19)</f>
        <v>7.4134303738901508E-2</v>
      </c>
      <c r="F20" s="31"/>
      <c r="G20" s="31"/>
      <c r="H20" s="32">
        <f>1-(F19/G19)</f>
        <v>0.12187498646346528</v>
      </c>
      <c r="I20" s="31"/>
      <c r="J20" s="31"/>
      <c r="K20" s="32">
        <f>1-(I19/J19)</f>
        <v>7.3104470882718431E-2</v>
      </c>
      <c r="L20" s="33"/>
      <c r="M20" s="33"/>
      <c r="N20" s="32">
        <f>1-(M19/L19)</f>
        <v>4.5268755439512809E-2</v>
      </c>
    </row>
    <row r="21" spans="2:18" x14ac:dyDescent="0.2">
      <c r="B21" s="28" t="s">
        <v>30</v>
      </c>
      <c r="C21" s="17"/>
      <c r="D21" s="17"/>
      <c r="E21" s="17"/>
      <c r="F21" s="17"/>
      <c r="G21" s="17"/>
      <c r="H21" s="17"/>
      <c r="I21" s="17"/>
      <c r="J21" s="17"/>
      <c r="K21" s="17"/>
      <c r="L21" s="25"/>
      <c r="M21" s="25"/>
      <c r="N21" s="29"/>
    </row>
  </sheetData>
  <conditionalFormatting sqref="E3:E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8 H21:H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8 K21:K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8 N2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7D28-C484-BF45-9486-3CED58139A53}">
  <dimension ref="A1:F20"/>
  <sheetViews>
    <sheetView workbookViewId="0">
      <selection activeCell="B5" sqref="B5:F20"/>
    </sheetView>
  </sheetViews>
  <sheetFormatPr baseColWidth="10" defaultRowHeight="16" x14ac:dyDescent="0.2"/>
  <sheetData>
    <row r="1" spans="1:6" x14ac:dyDescent="0.2">
      <c r="A1" t="s">
        <v>24</v>
      </c>
    </row>
    <row r="5" spans="1:6" x14ac:dyDescent="0.2">
      <c r="B5" t="s">
        <v>0</v>
      </c>
      <c r="C5" t="s">
        <v>1</v>
      </c>
      <c r="D5" t="s">
        <v>2</v>
      </c>
      <c r="E5" t="s">
        <v>3</v>
      </c>
      <c r="F5" t="s">
        <v>4</v>
      </c>
    </row>
    <row r="6" spans="1:6" x14ac:dyDescent="0.2">
      <c r="A6">
        <v>0</v>
      </c>
      <c r="B6" t="s">
        <v>9</v>
      </c>
      <c r="C6">
        <v>125.69985800000001</v>
      </c>
      <c r="D6">
        <v>49195.341021</v>
      </c>
      <c r="E6">
        <v>221.800228</v>
      </c>
      <c r="F6">
        <v>0.57138199999999995</v>
      </c>
    </row>
    <row r="7" spans="1:6" x14ac:dyDescent="0.2">
      <c r="A7">
        <v>1</v>
      </c>
      <c r="B7" t="s">
        <v>10</v>
      </c>
      <c r="C7">
        <v>124.882936</v>
      </c>
      <c r="D7">
        <v>56259.687447999997</v>
      </c>
      <c r="E7">
        <v>237.191247</v>
      </c>
      <c r="F7">
        <v>0.50983299999999998</v>
      </c>
    </row>
    <row r="8" spans="1:6" x14ac:dyDescent="0.2">
      <c r="A8">
        <v>2</v>
      </c>
      <c r="B8" t="s">
        <v>11</v>
      </c>
      <c r="C8">
        <v>125.16394099999999</v>
      </c>
      <c r="D8">
        <v>49249.217314000001</v>
      </c>
      <c r="E8">
        <v>221.92164700000001</v>
      </c>
      <c r="F8">
        <v>0.57091199999999998</v>
      </c>
    </row>
    <row r="9" spans="1:6" x14ac:dyDescent="0.2">
      <c r="A9">
        <v>3</v>
      </c>
      <c r="B9" t="s">
        <v>12</v>
      </c>
      <c r="C9">
        <v>125.278592</v>
      </c>
      <c r="D9">
        <v>49233.014930999998</v>
      </c>
      <c r="E9">
        <v>221.88513900000001</v>
      </c>
      <c r="F9">
        <v>0.57105300000000003</v>
      </c>
    </row>
    <row r="10" spans="1:6" x14ac:dyDescent="0.2">
      <c r="A10">
        <v>4</v>
      </c>
      <c r="B10" t="s">
        <v>13</v>
      </c>
      <c r="C10">
        <v>91.583714000000001</v>
      </c>
      <c r="D10">
        <v>36841.446436999999</v>
      </c>
      <c r="E10">
        <v>191.941258</v>
      </c>
      <c r="F10">
        <v>0.67901599999999995</v>
      </c>
    </row>
    <row r="11" spans="1:6" x14ac:dyDescent="0.2">
      <c r="A11">
        <v>5</v>
      </c>
      <c r="B11" t="s">
        <v>14</v>
      </c>
      <c r="C11">
        <v>85.075612000000007</v>
      </c>
      <c r="D11">
        <v>43663.296310999998</v>
      </c>
      <c r="E11">
        <v>208.95764199999999</v>
      </c>
      <c r="F11">
        <v>0.61958000000000002</v>
      </c>
    </row>
    <row r="12" spans="1:6" x14ac:dyDescent="0.2">
      <c r="A12">
        <v>6</v>
      </c>
      <c r="B12" t="s">
        <v>15</v>
      </c>
      <c r="C12">
        <v>94.895409000000001</v>
      </c>
      <c r="D12">
        <v>30732.402199</v>
      </c>
      <c r="E12">
        <v>175.30659499999999</v>
      </c>
      <c r="F12">
        <v>0.73224199999999995</v>
      </c>
    </row>
    <row r="13" spans="1:6" x14ac:dyDescent="0.2">
      <c r="A13">
        <v>7</v>
      </c>
      <c r="B13" t="s">
        <v>16</v>
      </c>
      <c r="C13">
        <v>86.246128999999996</v>
      </c>
      <c r="D13">
        <v>22912.135472999998</v>
      </c>
      <c r="E13">
        <v>151.36755099999999</v>
      </c>
      <c r="F13">
        <v>0.80037599999999998</v>
      </c>
    </row>
    <row r="14" spans="1:6" x14ac:dyDescent="0.2">
      <c r="A14">
        <v>8</v>
      </c>
      <c r="B14" t="s">
        <v>17</v>
      </c>
      <c r="C14">
        <v>44.508994999999999</v>
      </c>
      <c r="D14">
        <v>4936.8987909999996</v>
      </c>
      <c r="E14">
        <v>70.263068000000004</v>
      </c>
      <c r="F14">
        <v>0.95698700000000003</v>
      </c>
    </row>
    <row r="15" spans="1:6" x14ac:dyDescent="0.2">
      <c r="A15">
        <v>9</v>
      </c>
      <c r="B15" t="s">
        <v>18</v>
      </c>
      <c r="C15">
        <v>71.112702999999996</v>
      </c>
      <c r="D15">
        <v>14925.927596</v>
      </c>
      <c r="E15">
        <v>122.17171399999999</v>
      </c>
      <c r="F15">
        <v>0.86995699999999998</v>
      </c>
    </row>
    <row r="16" spans="1:6" x14ac:dyDescent="0.2">
      <c r="A16">
        <v>10</v>
      </c>
      <c r="B16" t="s">
        <v>19</v>
      </c>
      <c r="C16">
        <v>97.249831</v>
      </c>
      <c r="D16">
        <v>34841.507279999998</v>
      </c>
      <c r="E16">
        <v>186.65879899999999</v>
      </c>
      <c r="F16">
        <v>0.69644099999999998</v>
      </c>
    </row>
    <row r="17" spans="1:6" x14ac:dyDescent="0.2">
      <c r="A17">
        <v>11</v>
      </c>
      <c r="B17" t="s">
        <v>20</v>
      </c>
      <c r="C17">
        <v>63.251004999999999</v>
      </c>
      <c r="D17">
        <v>12905.283133999999</v>
      </c>
      <c r="E17">
        <v>113.601422</v>
      </c>
      <c r="F17">
        <v>0.88756199999999996</v>
      </c>
    </row>
    <row r="18" spans="1:6" x14ac:dyDescent="0.2">
      <c r="A18">
        <v>12</v>
      </c>
      <c r="B18" t="s">
        <v>21</v>
      </c>
      <c r="C18">
        <v>64.507924000000003</v>
      </c>
      <c r="D18">
        <v>12780.435122999999</v>
      </c>
      <c r="E18">
        <v>113.05058699999999</v>
      </c>
      <c r="F18">
        <v>0.88864900000000002</v>
      </c>
    </row>
    <row r="19" spans="1:6" x14ac:dyDescent="0.2">
      <c r="A19">
        <v>13</v>
      </c>
      <c r="B19" t="s">
        <v>22</v>
      </c>
      <c r="C19">
        <v>85.656903</v>
      </c>
      <c r="D19">
        <v>27668.074894000001</v>
      </c>
      <c r="E19">
        <v>166.337232</v>
      </c>
      <c r="F19">
        <v>0.75893999999999995</v>
      </c>
    </row>
    <row r="20" spans="1:6" x14ac:dyDescent="0.2">
      <c r="A20">
        <v>14</v>
      </c>
      <c r="B20" t="s">
        <v>23</v>
      </c>
      <c r="C20">
        <v>71.022661999999997</v>
      </c>
      <c r="D20">
        <v>16420.859436999999</v>
      </c>
      <c r="E20">
        <v>128.143901</v>
      </c>
      <c r="F20">
        <v>0.85693200000000003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Nasrabadi</dc:creator>
  <cp:lastModifiedBy>Dom Nasrabadi</cp:lastModifiedBy>
  <dcterms:created xsi:type="dcterms:W3CDTF">2023-03-12T21:33:04Z</dcterms:created>
  <dcterms:modified xsi:type="dcterms:W3CDTF">2023-03-12T21:47:54Z</dcterms:modified>
</cp:coreProperties>
</file>